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/>
  </bookViews>
  <sheets>
    <sheet name="Banco de Dados" sheetId="1" r:id="rId1"/>
    <sheet name="Resumo" sheetId="2" r:id="rId2"/>
  </sheets>
  <definedNames>
    <definedName name="_xlnm._FilterDatabase" localSheetId="0" hidden="1">'Banco de Dados'!$A$1:$I$256</definedName>
  </definedNames>
  <calcPr calcId="125725"/>
</workbook>
</file>

<file path=xl/calcChain.xml><?xml version="1.0" encoding="utf-8"?>
<calcChain xmlns="http://schemas.openxmlformats.org/spreadsheetml/2006/main">
  <c r="E225" i="1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26" l="1"/>
  <c r="E127"/>
  <c r="E128"/>
  <c r="E129"/>
  <c r="E130"/>
  <c r="E131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125"/>
  <c r="E124"/>
  <c r="E123"/>
  <c r="E122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E121"/>
  <c r="E120"/>
  <c r="I7" i="2" l="1"/>
  <c r="I8"/>
  <c r="D7"/>
  <c r="E7"/>
  <c r="F7"/>
  <c r="G7"/>
  <c r="H7"/>
  <c r="D8"/>
  <c r="E8"/>
  <c r="F8"/>
  <c r="G8"/>
  <c r="H8"/>
  <c r="C7"/>
  <c r="C8"/>
  <c r="B7"/>
  <c r="B8"/>
  <c r="G3" i="1"/>
  <c r="H3"/>
  <c r="I3"/>
  <c r="G4"/>
  <c r="H4"/>
  <c r="I4"/>
  <c r="G5"/>
  <c r="H5"/>
  <c r="I5"/>
  <c r="G6"/>
  <c r="H6"/>
  <c r="I6"/>
  <c r="G7"/>
  <c r="H7"/>
  <c r="I7"/>
  <c r="G8"/>
  <c r="H8"/>
  <c r="I8"/>
  <c r="G9"/>
  <c r="H9"/>
  <c r="I9"/>
  <c r="G10"/>
  <c r="H10"/>
  <c r="I10"/>
  <c r="G11"/>
  <c r="H11"/>
  <c r="I11"/>
  <c r="G12"/>
  <c r="H12"/>
  <c r="I12"/>
  <c r="G13"/>
  <c r="H13"/>
  <c r="I13"/>
  <c r="G14"/>
  <c r="H14"/>
  <c r="I14"/>
  <c r="G15"/>
  <c r="H15"/>
  <c r="I15"/>
  <c r="G16"/>
  <c r="H16"/>
  <c r="I16"/>
  <c r="G17"/>
  <c r="H17"/>
  <c r="I17"/>
  <c r="G18"/>
  <c r="H18"/>
  <c r="I18"/>
  <c r="G19"/>
  <c r="H19"/>
  <c r="I19"/>
  <c r="G20"/>
  <c r="H20"/>
  <c r="I20"/>
  <c r="G21"/>
  <c r="H21"/>
  <c r="I21"/>
  <c r="G22"/>
  <c r="H22"/>
  <c r="I22"/>
  <c r="G23"/>
  <c r="H23"/>
  <c r="I23"/>
  <c r="G24"/>
  <c r="H24"/>
  <c r="I24"/>
  <c r="G25"/>
  <c r="H25"/>
  <c r="I25"/>
  <c r="G26"/>
  <c r="H26"/>
  <c r="I26"/>
  <c r="G27"/>
  <c r="H27"/>
  <c r="I27"/>
  <c r="G28"/>
  <c r="H28"/>
  <c r="I28"/>
  <c r="G29"/>
  <c r="H29"/>
  <c r="I29"/>
  <c r="G30"/>
  <c r="H30"/>
  <c r="I30"/>
  <c r="G31"/>
  <c r="H31"/>
  <c r="I31"/>
  <c r="G32"/>
  <c r="H32"/>
  <c r="I32"/>
  <c r="G33"/>
  <c r="H33"/>
  <c r="I33"/>
  <c r="G34"/>
  <c r="H34"/>
  <c r="I34"/>
  <c r="G35"/>
  <c r="H35"/>
  <c r="I35"/>
  <c r="G36"/>
  <c r="H36"/>
  <c r="I36"/>
  <c r="G37"/>
  <c r="H37"/>
  <c r="I37"/>
  <c r="G38"/>
  <c r="H38"/>
  <c r="I38"/>
  <c r="G39"/>
  <c r="H39"/>
  <c r="I39"/>
  <c r="G40"/>
  <c r="H40"/>
  <c r="I40"/>
  <c r="G41"/>
  <c r="H41"/>
  <c r="I41"/>
  <c r="G42"/>
  <c r="H42"/>
  <c r="I42"/>
  <c r="G43"/>
  <c r="H43"/>
  <c r="I43"/>
  <c r="G44"/>
  <c r="H44"/>
  <c r="I44"/>
  <c r="G45"/>
  <c r="H45"/>
  <c r="I45"/>
  <c r="G46"/>
  <c r="H46"/>
  <c r="I46"/>
  <c r="G47"/>
  <c r="H47"/>
  <c r="I47"/>
  <c r="G48"/>
  <c r="H48"/>
  <c r="I48"/>
  <c r="G49"/>
  <c r="H49"/>
  <c r="I49"/>
  <c r="G50"/>
  <c r="H50"/>
  <c r="I50"/>
  <c r="G51"/>
  <c r="H51"/>
  <c r="I51"/>
  <c r="G52"/>
  <c r="H52"/>
  <c r="I52"/>
  <c r="G53"/>
  <c r="H53"/>
  <c r="I53"/>
  <c r="G54"/>
  <c r="H54"/>
  <c r="I54"/>
  <c r="G55"/>
  <c r="H55"/>
  <c r="I55"/>
  <c r="G56"/>
  <c r="H56"/>
  <c r="I56"/>
  <c r="G57"/>
  <c r="H57"/>
  <c r="I57"/>
  <c r="G58"/>
  <c r="H58"/>
  <c r="I58"/>
  <c r="G59"/>
  <c r="H59"/>
  <c r="I59"/>
  <c r="G60"/>
  <c r="H60"/>
  <c r="I60"/>
  <c r="G61"/>
  <c r="H61"/>
  <c r="I61"/>
  <c r="G62"/>
  <c r="H62"/>
  <c r="I62"/>
  <c r="G63"/>
  <c r="H63"/>
  <c r="I63"/>
  <c r="G64"/>
  <c r="H64"/>
  <c r="I64"/>
  <c r="G65"/>
  <c r="H65"/>
  <c r="I65"/>
  <c r="G66"/>
  <c r="H66"/>
  <c r="I66"/>
  <c r="G67"/>
  <c r="H67"/>
  <c r="I67"/>
  <c r="G68"/>
  <c r="H68"/>
  <c r="I68"/>
  <c r="G69"/>
  <c r="H69"/>
  <c r="I69"/>
  <c r="G70"/>
  <c r="H70"/>
  <c r="I70"/>
  <c r="G71"/>
  <c r="H71"/>
  <c r="I71"/>
  <c r="G72"/>
  <c r="H72"/>
  <c r="I72"/>
  <c r="G73"/>
  <c r="H73"/>
  <c r="I73"/>
  <c r="G74"/>
  <c r="H74"/>
  <c r="I74"/>
  <c r="G75"/>
  <c r="H75"/>
  <c r="I75"/>
  <c r="G76"/>
  <c r="H76"/>
  <c r="I76"/>
  <c r="G77"/>
  <c r="H77"/>
  <c r="I77"/>
  <c r="G78"/>
  <c r="H78"/>
  <c r="I78"/>
  <c r="G79"/>
  <c r="H79"/>
  <c r="I79"/>
  <c r="G80"/>
  <c r="H80"/>
  <c r="I80"/>
  <c r="G81"/>
  <c r="H81"/>
  <c r="I81"/>
  <c r="G82"/>
  <c r="H82"/>
  <c r="I82"/>
  <c r="G83"/>
  <c r="H83"/>
  <c r="I83"/>
  <c r="G84"/>
  <c r="H84"/>
  <c r="I84"/>
  <c r="G85"/>
  <c r="H85"/>
  <c r="I85"/>
  <c r="G86"/>
  <c r="H86"/>
  <c r="I86"/>
  <c r="G87"/>
  <c r="H87"/>
  <c r="I87"/>
  <c r="G88"/>
  <c r="H88"/>
  <c r="I88"/>
  <c r="G89"/>
  <c r="H89"/>
  <c r="I89"/>
  <c r="G90"/>
  <c r="H90"/>
  <c r="I90"/>
  <c r="G91"/>
  <c r="H91"/>
  <c r="I91"/>
  <c r="G92"/>
  <c r="H92"/>
  <c r="I92"/>
  <c r="G93"/>
  <c r="H93"/>
  <c r="I93"/>
  <c r="G94"/>
  <c r="H94"/>
  <c r="I94"/>
  <c r="G95"/>
  <c r="H95"/>
  <c r="I95"/>
  <c r="G96"/>
  <c r="H96"/>
  <c r="I96"/>
  <c r="G97"/>
  <c r="H97"/>
  <c r="I97"/>
  <c r="G98"/>
  <c r="H98"/>
  <c r="I98"/>
  <c r="G99"/>
  <c r="H99"/>
  <c r="I99"/>
  <c r="G100"/>
  <c r="H100"/>
  <c r="I100"/>
  <c r="G101"/>
  <c r="H101"/>
  <c r="I101"/>
  <c r="G102"/>
  <c r="H102"/>
  <c r="I102"/>
  <c r="G103"/>
  <c r="H103"/>
  <c r="I103"/>
  <c r="G104"/>
  <c r="H104"/>
  <c r="I104"/>
  <c r="G105"/>
  <c r="H105"/>
  <c r="I105"/>
  <c r="G106"/>
  <c r="H106"/>
  <c r="I106"/>
  <c r="G107"/>
  <c r="H107"/>
  <c r="I107"/>
  <c r="G108"/>
  <c r="H108"/>
  <c r="I108"/>
  <c r="G109"/>
  <c r="H109"/>
  <c r="I109"/>
  <c r="G110"/>
  <c r="H110"/>
  <c r="I110"/>
  <c r="G111"/>
  <c r="H111"/>
  <c r="I111"/>
  <c r="G112"/>
  <c r="H112"/>
  <c r="I112"/>
  <c r="G113"/>
  <c r="H113"/>
  <c r="I113"/>
  <c r="G114"/>
  <c r="H114"/>
  <c r="I114"/>
  <c r="G115"/>
  <c r="H115"/>
  <c r="I115"/>
  <c r="G116"/>
  <c r="H116"/>
  <c r="I116"/>
  <c r="G117"/>
  <c r="H117"/>
  <c r="I117"/>
  <c r="G118"/>
  <c r="H118"/>
  <c r="I118"/>
  <c r="G119"/>
  <c r="H119"/>
  <c r="I119"/>
  <c r="G120"/>
  <c r="H120"/>
  <c r="I120"/>
  <c r="G121"/>
  <c r="H121"/>
  <c r="I121"/>
  <c r="G122"/>
  <c r="H122"/>
  <c r="I122"/>
  <c r="G123"/>
  <c r="H123"/>
  <c r="I123"/>
  <c r="G124"/>
  <c r="H124"/>
  <c r="I124"/>
  <c r="G125"/>
  <c r="H125"/>
  <c r="I125"/>
  <c r="G126"/>
  <c r="H126"/>
  <c r="I126"/>
  <c r="G127"/>
  <c r="H127"/>
  <c r="I127"/>
  <c r="G128"/>
  <c r="H128"/>
  <c r="I128"/>
  <c r="G129"/>
  <c r="H129"/>
  <c r="I129"/>
  <c r="G130"/>
  <c r="H130"/>
  <c r="I130"/>
  <c r="G131"/>
  <c r="H131"/>
  <c r="I131"/>
  <c r="G132"/>
  <c r="H132"/>
  <c r="I132"/>
  <c r="G133"/>
  <c r="H133"/>
  <c r="I133"/>
  <c r="G134"/>
  <c r="H134"/>
  <c r="I134"/>
  <c r="G135"/>
  <c r="H135"/>
  <c r="I135"/>
  <c r="G136"/>
  <c r="H136"/>
  <c r="I136"/>
  <c r="G137"/>
  <c r="H137"/>
  <c r="I137"/>
  <c r="G138"/>
  <c r="H138"/>
  <c r="I138"/>
  <c r="G139"/>
  <c r="H139"/>
  <c r="I139"/>
  <c r="G140"/>
  <c r="H140"/>
  <c r="I140"/>
  <c r="G141"/>
  <c r="H141"/>
  <c r="I141"/>
  <c r="G142"/>
  <c r="H142"/>
  <c r="I142"/>
  <c r="G143"/>
  <c r="H143"/>
  <c r="I143"/>
  <c r="G144"/>
  <c r="H144"/>
  <c r="I144"/>
  <c r="G145"/>
  <c r="H145"/>
  <c r="I145"/>
  <c r="G146"/>
  <c r="H146"/>
  <c r="I146"/>
  <c r="G147"/>
  <c r="H147"/>
  <c r="I147"/>
  <c r="G148"/>
  <c r="H148"/>
  <c r="I148"/>
  <c r="G149"/>
  <c r="H149"/>
  <c r="I149"/>
  <c r="G150"/>
  <c r="H150"/>
  <c r="I150"/>
  <c r="G151"/>
  <c r="H151"/>
  <c r="I151"/>
  <c r="G152"/>
  <c r="H152"/>
  <c r="I152"/>
  <c r="G153"/>
  <c r="H153"/>
  <c r="I153"/>
  <c r="G154"/>
  <c r="H154"/>
  <c r="I154"/>
  <c r="G155"/>
  <c r="H155"/>
  <c r="I155"/>
  <c r="G156"/>
  <c r="H156"/>
  <c r="I156"/>
  <c r="G157"/>
  <c r="H157"/>
  <c r="I157"/>
  <c r="G158"/>
  <c r="H158"/>
  <c r="I158"/>
  <c r="G159"/>
  <c r="H159"/>
  <c r="I159"/>
  <c r="G160"/>
  <c r="H160"/>
  <c r="I160"/>
  <c r="G161"/>
  <c r="H161"/>
  <c r="I161"/>
  <c r="G162"/>
  <c r="H162"/>
  <c r="I162"/>
  <c r="G163"/>
  <c r="H163"/>
  <c r="I163"/>
  <c r="G164"/>
  <c r="H164"/>
  <c r="I164"/>
  <c r="G165"/>
  <c r="H165"/>
  <c r="I165"/>
  <c r="G166"/>
  <c r="H166"/>
  <c r="I166"/>
  <c r="G167"/>
  <c r="H167"/>
  <c r="I167"/>
  <c r="G168"/>
  <c r="H168"/>
  <c r="I168"/>
  <c r="G169"/>
  <c r="H169"/>
  <c r="I169"/>
  <c r="G170"/>
  <c r="H170"/>
  <c r="I170"/>
  <c r="G171"/>
  <c r="H171"/>
  <c r="I171"/>
  <c r="G172"/>
  <c r="H172"/>
  <c r="I172"/>
  <c r="G173"/>
  <c r="H173"/>
  <c r="I173"/>
  <c r="G174"/>
  <c r="H174"/>
  <c r="I174"/>
  <c r="G175"/>
  <c r="H175"/>
  <c r="I175"/>
  <c r="G176"/>
  <c r="H176"/>
  <c r="I176"/>
  <c r="G177"/>
  <c r="H177"/>
  <c r="I177"/>
  <c r="G178"/>
  <c r="H178"/>
  <c r="I178"/>
  <c r="G179"/>
  <c r="H179"/>
  <c r="I179"/>
  <c r="G180"/>
  <c r="H180"/>
  <c r="I180"/>
  <c r="G181"/>
  <c r="H181"/>
  <c r="I181"/>
  <c r="G182"/>
  <c r="H182"/>
  <c r="I182"/>
  <c r="G183"/>
  <c r="H183"/>
  <c r="I183"/>
  <c r="G184"/>
  <c r="H184"/>
  <c r="I184"/>
  <c r="G185"/>
  <c r="H185"/>
  <c r="I185"/>
  <c r="G186"/>
  <c r="H186"/>
  <c r="I186"/>
  <c r="G187"/>
  <c r="H187"/>
  <c r="I187"/>
  <c r="G188"/>
  <c r="H188"/>
  <c r="I188"/>
  <c r="G189"/>
  <c r="H189"/>
  <c r="I189"/>
  <c r="G190"/>
  <c r="H190"/>
  <c r="I190"/>
  <c r="G191"/>
  <c r="H191"/>
  <c r="I191"/>
  <c r="G192"/>
  <c r="H192"/>
  <c r="I192"/>
  <c r="G193"/>
  <c r="H193"/>
  <c r="I193"/>
  <c r="G194"/>
  <c r="H194"/>
  <c r="I194"/>
  <c r="G195"/>
  <c r="H195"/>
  <c r="I195"/>
  <c r="G196"/>
  <c r="H196"/>
  <c r="I196"/>
  <c r="G197"/>
  <c r="H197"/>
  <c r="I197"/>
  <c r="G198"/>
  <c r="H198"/>
  <c r="I198"/>
  <c r="G199"/>
  <c r="H199"/>
  <c r="I199"/>
  <c r="G200"/>
  <c r="H200"/>
  <c r="I200"/>
  <c r="G201"/>
  <c r="H201"/>
  <c r="I201"/>
  <c r="G202"/>
  <c r="H202"/>
  <c r="I202"/>
  <c r="G203"/>
  <c r="H203"/>
  <c r="I203"/>
  <c r="G204"/>
  <c r="H204"/>
  <c r="I204"/>
  <c r="G205"/>
  <c r="H205"/>
  <c r="I205"/>
  <c r="G206"/>
  <c r="H206"/>
  <c r="I206"/>
  <c r="G207"/>
  <c r="H207"/>
  <c r="I207"/>
  <c r="G208"/>
  <c r="H208"/>
  <c r="I208"/>
  <c r="G209"/>
  <c r="H209"/>
  <c r="I209"/>
  <c r="G210"/>
  <c r="H210"/>
  <c r="I210"/>
  <c r="G211"/>
  <c r="H211"/>
  <c r="I211"/>
  <c r="G212"/>
  <c r="H212"/>
  <c r="I212"/>
  <c r="G213"/>
  <c r="H213"/>
  <c r="I213"/>
  <c r="G214"/>
  <c r="H214"/>
  <c r="I214"/>
  <c r="G215"/>
  <c r="H215"/>
  <c r="I215"/>
  <c r="G216"/>
  <c r="H216"/>
  <c r="I216"/>
  <c r="G217"/>
  <c r="H217"/>
  <c r="I217"/>
  <c r="G218"/>
  <c r="H218"/>
  <c r="I218"/>
  <c r="G219"/>
  <c r="H219"/>
  <c r="I219"/>
  <c r="G220"/>
  <c r="H220"/>
  <c r="I220"/>
  <c r="G221"/>
  <c r="H221"/>
  <c r="I221"/>
  <c r="G222"/>
  <c r="H222"/>
  <c r="I222"/>
  <c r="G223"/>
  <c r="H223"/>
  <c r="I223"/>
  <c r="G224"/>
  <c r="H224"/>
  <c r="I224"/>
  <c r="G225"/>
  <c r="H225"/>
  <c r="I225"/>
  <c r="G226"/>
  <c r="H226"/>
  <c r="I226"/>
  <c r="G227"/>
  <c r="H227"/>
  <c r="I227"/>
  <c r="G228"/>
  <c r="H228"/>
  <c r="I228"/>
  <c r="G229"/>
  <c r="H229"/>
  <c r="I229"/>
  <c r="G230"/>
  <c r="H230"/>
  <c r="I230"/>
  <c r="G231"/>
  <c r="H231"/>
  <c r="I231"/>
  <c r="G232"/>
  <c r="H232"/>
  <c r="I232"/>
  <c r="G233"/>
  <c r="H233"/>
  <c r="I233"/>
  <c r="G234"/>
  <c r="H234"/>
  <c r="I234"/>
  <c r="G235"/>
  <c r="H235"/>
  <c r="I235"/>
  <c r="G236"/>
  <c r="H236"/>
  <c r="I236"/>
  <c r="G237"/>
  <c r="H237"/>
  <c r="I237"/>
  <c r="G238"/>
  <c r="H238"/>
  <c r="I238"/>
  <c r="G239"/>
  <c r="H239"/>
  <c r="I239"/>
  <c r="G240"/>
  <c r="H240"/>
  <c r="I240"/>
  <c r="G241"/>
  <c r="H241"/>
  <c r="I241"/>
  <c r="G242"/>
  <c r="H242"/>
  <c r="I242"/>
  <c r="G243"/>
  <c r="H243"/>
  <c r="I243"/>
  <c r="G244"/>
  <c r="H244"/>
  <c r="I244"/>
  <c r="G245"/>
  <c r="H245"/>
  <c r="I245"/>
  <c r="G246"/>
  <c r="H246"/>
  <c r="I246"/>
  <c r="G247"/>
  <c r="H247"/>
  <c r="I247"/>
  <c r="G248"/>
  <c r="H248"/>
  <c r="I248"/>
  <c r="G249"/>
  <c r="H249"/>
  <c r="I249"/>
  <c r="G250"/>
  <c r="H250"/>
  <c r="I250"/>
  <c r="G251"/>
  <c r="H251"/>
  <c r="I251"/>
  <c r="G252"/>
  <c r="H252"/>
  <c r="I252"/>
  <c r="G253"/>
  <c r="H253"/>
  <c r="I253"/>
  <c r="G254"/>
  <c r="H254"/>
  <c r="I254"/>
  <c r="G255"/>
  <c r="H255"/>
  <c r="I255"/>
  <c r="G256"/>
  <c r="H256"/>
  <c r="I256"/>
  <c r="I2"/>
  <c r="H2"/>
  <c r="G2"/>
  <c r="F14"/>
  <c r="E83"/>
  <c r="F83"/>
  <c r="E84"/>
  <c r="F84"/>
  <c r="E85"/>
  <c r="F85"/>
  <c r="E86"/>
  <c r="F86"/>
  <c r="E87"/>
  <c r="F87"/>
  <c r="E88"/>
  <c r="F88"/>
  <c r="E89"/>
  <c r="F89"/>
  <c r="E90"/>
  <c r="F90"/>
  <c r="E91"/>
  <c r="F91"/>
  <c r="E92"/>
  <c r="F92"/>
  <c r="E93"/>
  <c r="F93"/>
  <c r="E94"/>
  <c r="F94"/>
  <c r="E95"/>
  <c r="F95"/>
  <c r="E96"/>
  <c r="F96"/>
  <c r="E97"/>
  <c r="F97"/>
  <c r="E98"/>
  <c r="F98"/>
  <c r="E99"/>
  <c r="F99"/>
  <c r="E100"/>
  <c r="F100"/>
  <c r="E101"/>
  <c r="F101"/>
  <c r="E102"/>
  <c r="F102"/>
  <c r="E103"/>
  <c r="F103"/>
  <c r="E104"/>
  <c r="F104"/>
  <c r="E105"/>
  <c r="F105"/>
  <c r="E106"/>
  <c r="F106"/>
  <c r="E107"/>
  <c r="F107"/>
  <c r="E108"/>
  <c r="F108"/>
  <c r="E109"/>
  <c r="F109"/>
  <c r="E110"/>
  <c r="F110"/>
  <c r="E111"/>
  <c r="F111"/>
  <c r="E112"/>
  <c r="F112"/>
  <c r="E113"/>
  <c r="F113"/>
  <c r="E114"/>
  <c r="F114"/>
  <c r="E115"/>
  <c r="F115"/>
  <c r="E116"/>
  <c r="F116"/>
  <c r="E117"/>
  <c r="F117"/>
  <c r="E118"/>
  <c r="F118"/>
  <c r="E119"/>
  <c r="F119"/>
  <c r="E2"/>
  <c r="E3"/>
  <c r="F3"/>
  <c r="E4"/>
  <c r="F4"/>
  <c r="E5"/>
  <c r="F5"/>
  <c r="E6"/>
  <c r="F6"/>
  <c r="E7"/>
  <c r="F7"/>
  <c r="E8"/>
  <c r="F8"/>
  <c r="E9"/>
  <c r="F9"/>
  <c r="E10"/>
  <c r="F10"/>
  <c r="E11"/>
  <c r="F11"/>
  <c r="E12"/>
  <c r="F12"/>
  <c r="E13"/>
  <c r="F13"/>
  <c r="E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E69"/>
  <c r="F69"/>
  <c r="E70"/>
  <c r="F70"/>
  <c r="E71"/>
  <c r="F71"/>
  <c r="E72"/>
  <c r="F72"/>
  <c r="E73"/>
  <c r="F73"/>
  <c r="E74"/>
  <c r="F74"/>
  <c r="E75"/>
  <c r="F75"/>
  <c r="E76"/>
  <c r="F76"/>
  <c r="E77"/>
  <c r="F77"/>
  <c r="E78"/>
  <c r="F78"/>
  <c r="E79"/>
  <c r="F79"/>
  <c r="E80"/>
  <c r="F80"/>
  <c r="E81"/>
  <c r="F81"/>
  <c r="E82"/>
  <c r="F82"/>
  <c r="F2"/>
  <c r="I6" i="2" l="1"/>
  <c r="F12"/>
  <c r="E13"/>
  <c r="G11"/>
  <c r="E9"/>
  <c r="B13"/>
  <c r="I10"/>
  <c r="F6"/>
  <c r="B9"/>
  <c r="C12"/>
  <c r="F13"/>
  <c r="G12"/>
  <c r="H11"/>
  <c r="D11"/>
  <c r="E10"/>
  <c r="F9"/>
  <c r="I11"/>
  <c r="G6"/>
  <c r="C6"/>
  <c r="B10"/>
  <c r="C13"/>
  <c r="C9"/>
  <c r="G13"/>
  <c r="H12"/>
  <c r="D12"/>
  <c r="E11"/>
  <c r="F10"/>
  <c r="G9"/>
  <c r="I12"/>
  <c r="H6"/>
  <c r="D6"/>
  <c r="B11"/>
  <c r="C10"/>
  <c r="H13"/>
  <c r="D13"/>
  <c r="E12"/>
  <c r="F11"/>
  <c r="G10"/>
  <c r="H9"/>
  <c r="D9"/>
  <c r="I13"/>
  <c r="I9"/>
  <c r="B6"/>
  <c r="E6"/>
  <c r="B12"/>
  <c r="C11"/>
  <c r="H10"/>
  <c r="D10"/>
  <c r="K13"/>
  <c r="J13"/>
  <c r="K12"/>
  <c r="J12"/>
  <c r="K11"/>
  <c r="J11"/>
  <c r="K10"/>
  <c r="J10"/>
  <c r="K9"/>
  <c r="J9"/>
  <c r="K8"/>
  <c r="J8"/>
  <c r="K7"/>
  <c r="J7"/>
  <c r="K6"/>
  <c r="J6"/>
</calcChain>
</file>

<file path=xl/sharedStrings.xml><?xml version="1.0" encoding="utf-8"?>
<sst xmlns="http://schemas.openxmlformats.org/spreadsheetml/2006/main" count="256" uniqueCount="31">
  <si>
    <t>Data</t>
  </si>
  <si>
    <t>Funcionário</t>
  </si>
  <si>
    <t>Hora Início</t>
  </si>
  <si>
    <t>Hora Final</t>
  </si>
  <si>
    <t>Horas Trabalhadas</t>
  </si>
  <si>
    <t>Semana do Ano</t>
  </si>
  <si>
    <t>FABIO MANOEL NERI</t>
  </si>
  <si>
    <t>ALEX FERREIRA DOS SANTOS</t>
  </si>
  <si>
    <t>LEONILSON DOS SANTOS SILVA</t>
  </si>
  <si>
    <t>DAVID APOLINARIO FRANCISCO</t>
  </si>
  <si>
    <t>LUCAS OLIVEIRA DA SILVA</t>
  </si>
  <si>
    <t>FELIPE MONTEIRO BARROSO DE ANDRADE</t>
  </si>
  <si>
    <t>Mês (Vazio = Todos):</t>
  </si>
  <si>
    <t>Ano (Vazio = Todos):</t>
  </si>
  <si>
    <t>Semana (Vazio = Todas):</t>
  </si>
  <si>
    <t>COMO USAR: Apague os números acima para ver a SOMA TOTAL de todos os meses/semanas.</t>
  </si>
  <si>
    <t>Segunda</t>
  </si>
  <si>
    <t>Terça</t>
  </si>
  <si>
    <t>Quarta</t>
  </si>
  <si>
    <t>Quinta</t>
  </si>
  <si>
    <t>Sexta</t>
  </si>
  <si>
    <t>Sábado</t>
  </si>
  <si>
    <t>Domingo</t>
  </si>
  <si>
    <t>Total Filtrado</t>
  </si>
  <si>
    <t>Soma Total Geral</t>
  </si>
  <si>
    <t>Dias Trabalhados (Geral)</t>
  </si>
  <si>
    <t>Mês</t>
  </si>
  <si>
    <t>Ano</t>
  </si>
  <si>
    <t>Dia da semana</t>
  </si>
  <si>
    <t>LEONARDO LADENTHIN MAGALHAES</t>
  </si>
  <si>
    <t>LUCAS J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</si>
</sst>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9">
    <font>
      <sz val="11"/>
      <name val="Calibri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9"/>
      <color rgb="FF000000"/>
      <name val="Verdana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EBF1DE"/>
        <bgColor rgb="FFEBF1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4" fontId="3" fillId="0" borderId="1" xfId="0" applyNumberFormat="1" applyFont="1" applyBorder="1"/>
    <xf numFmtId="4" fontId="1" fillId="5" borderId="1" xfId="0" applyNumberFormat="1" applyFont="1" applyFill="1" applyBorder="1"/>
    <xf numFmtId="0" fontId="6" fillId="0" borderId="1" xfId="0" applyFont="1" applyBorder="1"/>
    <xf numFmtId="0" fontId="0" fillId="0" borderId="0" xfId="0" applyFont="1" applyBorder="1" applyAlignment="1"/>
    <xf numFmtId="1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4" fillId="0" borderId="2" xfId="0" applyNumberFormat="1" applyFont="1" applyBorder="1" applyAlignment="1"/>
    <xf numFmtId="0" fontId="5" fillId="0" borderId="2" xfId="0" applyFont="1" applyBorder="1" applyAlignment="1"/>
    <xf numFmtId="21" fontId="0" fillId="0" borderId="2" xfId="0" applyNumberFormat="1" applyFont="1" applyBorder="1" applyAlignment="1"/>
    <xf numFmtId="20" fontId="4" fillId="0" borderId="2" xfId="0" applyNumberFormat="1" applyFont="1" applyBorder="1" applyAlignment="1"/>
    <xf numFmtId="2" fontId="0" fillId="0" borderId="2" xfId="0" applyNumberFormat="1" applyFont="1" applyBorder="1" applyAlignment="1"/>
    <xf numFmtId="0" fontId="0" fillId="0" borderId="2" xfId="0" applyFont="1" applyBorder="1" applyAlignment="1"/>
    <xf numFmtId="20" fontId="0" fillId="0" borderId="2" xfId="0" applyNumberFormat="1" applyFont="1" applyBorder="1" applyAlignment="1"/>
    <xf numFmtId="0" fontId="5" fillId="0" borderId="2" xfId="0" applyFont="1" applyFill="1" applyBorder="1" applyAlignment="1"/>
    <xf numFmtId="14" fontId="0" fillId="0" borderId="2" xfId="0" applyNumberFormat="1" applyFont="1" applyBorder="1" applyAlignment="1"/>
    <xf numFmtId="20" fontId="5" fillId="0" borderId="2" xfId="0" applyNumberFormat="1" applyFont="1" applyBorder="1" applyAlignment="1"/>
    <xf numFmtId="164" fontId="1" fillId="2" borderId="2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" fillId="3" borderId="3" xfId="0" applyFont="1" applyFill="1" applyBorder="1"/>
    <xf numFmtId="0" fontId="1" fillId="4" borderId="4" xfId="0" applyFont="1" applyFill="1" applyBorder="1" applyAlignment="1">
      <alignment horizontal="center"/>
    </xf>
    <xf numFmtId="20" fontId="4" fillId="0" borderId="0" xfId="0" applyNumberFormat="1" applyFont="1" applyAlignment="1"/>
    <xf numFmtId="21" fontId="8" fillId="0" borderId="0" xfId="0" applyNumberFormat="1" applyFont="1" applyAlignment="1"/>
    <xf numFmtId="20" fontId="0" fillId="0" borderId="2" xfId="0" applyNumberForma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7"/>
  <sheetViews>
    <sheetView tabSelected="1" zoomScale="90" zoomScaleNormal="90" workbookViewId="0">
      <pane ySplit="1" topLeftCell="A68" activePane="bottomLeft" state="frozen"/>
      <selection pane="bottomLeft" activeCell="A2" sqref="A2"/>
    </sheetView>
  </sheetViews>
  <sheetFormatPr defaultColWidth="14.42578125" defaultRowHeight="15" customHeight="1"/>
  <cols>
    <col min="1" max="1" width="18.7109375" style="20" customWidth="1"/>
    <col min="2" max="4" width="18.7109375" style="17" customWidth="1"/>
    <col min="5" max="5" width="18.7109375" style="16" customWidth="1"/>
    <col min="6" max="6" width="18.7109375" style="17" customWidth="1"/>
    <col min="7" max="8" width="8.7109375" style="17" customWidth="1"/>
    <col min="9" max="9" width="13.85546875" style="17" bestFit="1" customWidth="1"/>
    <col min="10" max="11" width="8.7109375" customWidth="1"/>
  </cols>
  <sheetData>
    <row r="1" spans="1:9">
      <c r="A1" s="10" t="s">
        <v>0</v>
      </c>
      <c r="B1" s="11" t="s">
        <v>1</v>
      </c>
      <c r="C1" s="11" t="s">
        <v>2</v>
      </c>
      <c r="D1" s="11" t="s">
        <v>3</v>
      </c>
      <c r="E1" s="22" t="s">
        <v>4</v>
      </c>
      <c r="F1" s="11" t="s">
        <v>5</v>
      </c>
      <c r="G1" s="23" t="s">
        <v>26</v>
      </c>
      <c r="H1" s="23" t="s">
        <v>27</v>
      </c>
      <c r="I1" s="23" t="s">
        <v>28</v>
      </c>
    </row>
    <row r="2" spans="1:9">
      <c r="A2" s="12">
        <v>46113</v>
      </c>
      <c r="B2" s="13" t="s">
        <v>8</v>
      </c>
      <c r="C2" s="14">
        <v>0.33333333333333331</v>
      </c>
      <c r="D2" s="15">
        <v>0.73526620370370377</v>
      </c>
      <c r="E2" s="16">
        <f>IF(OR(C2="", D2=""), 0, (D2-C2)*24)</f>
        <v>9.6463888888888913</v>
      </c>
      <c r="F2" s="17">
        <f>WEEKNUM(A2)</f>
        <v>14</v>
      </c>
      <c r="G2" s="17">
        <f>MONTH(A2)</f>
        <v>4</v>
      </c>
      <c r="H2" s="17">
        <f>YEAR(A2)</f>
        <v>2026</v>
      </c>
      <c r="I2" s="17">
        <f>WEEKDAY(A2)</f>
        <v>4</v>
      </c>
    </row>
    <row r="3" spans="1:9">
      <c r="A3" s="12">
        <v>46113</v>
      </c>
      <c r="B3" s="13" t="s">
        <v>7</v>
      </c>
      <c r="C3" s="18">
        <v>0.33402777777777781</v>
      </c>
      <c r="D3" s="14">
        <v>0.71550925925925923</v>
      </c>
      <c r="E3" s="16">
        <f t="shared" ref="E3:E63" si="0">IF(OR(C3="", D3=""), 0, (D3-C3)*24)</f>
        <v>9.155555555555555</v>
      </c>
      <c r="F3" s="17">
        <f t="shared" ref="F3:F63" si="1">WEEKNUM(A3)</f>
        <v>14</v>
      </c>
      <c r="G3" s="17">
        <f t="shared" ref="G3:G63" si="2">MONTH(A3)</f>
        <v>4</v>
      </c>
      <c r="H3" s="17">
        <f t="shared" ref="H3:H63" si="3">YEAR(A3)</f>
        <v>2026</v>
      </c>
      <c r="I3" s="17">
        <f t="shared" ref="I3:I63" si="4">WEEKDAY(A3)</f>
        <v>4</v>
      </c>
    </row>
    <row r="4" spans="1:9">
      <c r="A4" s="12">
        <v>46113</v>
      </c>
      <c r="B4" s="13" t="s">
        <v>6</v>
      </c>
      <c r="C4" s="18">
        <v>0.33333333333333331</v>
      </c>
      <c r="D4" s="14">
        <v>0.71704861111111118</v>
      </c>
      <c r="E4" s="16">
        <f t="shared" si="0"/>
        <v>9.2091666666666683</v>
      </c>
      <c r="F4" s="17">
        <f t="shared" si="1"/>
        <v>14</v>
      </c>
      <c r="G4" s="17">
        <f t="shared" si="2"/>
        <v>4</v>
      </c>
      <c r="H4" s="17">
        <f t="shared" si="3"/>
        <v>2026</v>
      </c>
      <c r="I4" s="17">
        <f t="shared" si="4"/>
        <v>4</v>
      </c>
    </row>
    <row r="5" spans="1:9">
      <c r="A5" s="12">
        <v>46113</v>
      </c>
      <c r="B5" s="19" t="s">
        <v>9</v>
      </c>
      <c r="C5" s="18">
        <v>0.33749999999999997</v>
      </c>
      <c r="D5" s="14">
        <v>0.73232638888888879</v>
      </c>
      <c r="E5" s="16">
        <f t="shared" si="0"/>
        <v>9.4758333333333322</v>
      </c>
      <c r="F5" s="17">
        <f t="shared" si="1"/>
        <v>14</v>
      </c>
      <c r="G5" s="17">
        <f t="shared" si="2"/>
        <v>4</v>
      </c>
      <c r="H5" s="17">
        <f t="shared" si="3"/>
        <v>2026</v>
      </c>
      <c r="I5" s="17">
        <f t="shared" si="4"/>
        <v>4</v>
      </c>
    </row>
    <row r="6" spans="1:9">
      <c r="A6" s="12">
        <v>46114</v>
      </c>
      <c r="B6" s="19" t="s">
        <v>8</v>
      </c>
      <c r="C6" s="18">
        <v>0.34027777777777773</v>
      </c>
      <c r="D6" s="14">
        <v>0.6945486111111111</v>
      </c>
      <c r="E6" s="16">
        <f t="shared" si="0"/>
        <v>8.5025000000000013</v>
      </c>
      <c r="F6" s="17">
        <f t="shared" si="1"/>
        <v>14</v>
      </c>
      <c r="G6" s="17">
        <f t="shared" si="2"/>
        <v>4</v>
      </c>
      <c r="H6" s="17">
        <f t="shared" si="3"/>
        <v>2026</v>
      </c>
      <c r="I6" s="17">
        <f t="shared" si="4"/>
        <v>5</v>
      </c>
    </row>
    <row r="7" spans="1:9">
      <c r="A7" s="12">
        <v>46114</v>
      </c>
      <c r="B7" s="19" t="s">
        <v>7</v>
      </c>
      <c r="C7" s="18">
        <v>0.33333333333333331</v>
      </c>
      <c r="D7" s="14">
        <v>0.73061342592592593</v>
      </c>
      <c r="E7" s="16">
        <f t="shared" si="0"/>
        <v>9.5347222222222232</v>
      </c>
      <c r="F7" s="17">
        <f t="shared" si="1"/>
        <v>14</v>
      </c>
      <c r="G7" s="17">
        <f t="shared" si="2"/>
        <v>4</v>
      </c>
      <c r="H7" s="17">
        <f t="shared" si="3"/>
        <v>2026</v>
      </c>
      <c r="I7" s="17">
        <f t="shared" si="4"/>
        <v>5</v>
      </c>
    </row>
    <row r="8" spans="1:9">
      <c r="A8" s="12">
        <v>46114</v>
      </c>
      <c r="B8" s="19" t="s">
        <v>6</v>
      </c>
      <c r="C8" s="18">
        <v>0.33263888888888887</v>
      </c>
      <c r="D8" s="14">
        <v>0.68552083333333336</v>
      </c>
      <c r="E8" s="16">
        <f t="shared" si="0"/>
        <v>8.4691666666666681</v>
      </c>
      <c r="F8" s="17">
        <f t="shared" si="1"/>
        <v>14</v>
      </c>
      <c r="G8" s="17">
        <f t="shared" si="2"/>
        <v>4</v>
      </c>
      <c r="H8" s="17">
        <f t="shared" si="3"/>
        <v>2026</v>
      </c>
      <c r="I8" s="17">
        <f t="shared" si="4"/>
        <v>5</v>
      </c>
    </row>
    <row r="9" spans="1:9">
      <c r="A9" s="12">
        <v>46114</v>
      </c>
      <c r="B9" s="19" t="s">
        <v>10</v>
      </c>
      <c r="C9" s="18">
        <v>0.51597222222222217</v>
      </c>
      <c r="D9" s="14">
        <v>0.74773148148148139</v>
      </c>
      <c r="E9" s="16">
        <f t="shared" si="0"/>
        <v>5.5622222222222213</v>
      </c>
      <c r="F9" s="17">
        <f t="shared" si="1"/>
        <v>14</v>
      </c>
      <c r="G9" s="17">
        <f t="shared" si="2"/>
        <v>4</v>
      </c>
      <c r="H9" s="17">
        <f t="shared" si="3"/>
        <v>2026</v>
      </c>
      <c r="I9" s="17">
        <f t="shared" si="4"/>
        <v>5</v>
      </c>
    </row>
    <row r="10" spans="1:9">
      <c r="A10" s="12">
        <v>46114</v>
      </c>
      <c r="B10" s="19" t="s">
        <v>9</v>
      </c>
      <c r="C10" s="18">
        <v>0.4458333333333333</v>
      </c>
      <c r="D10" s="14">
        <v>0.54622685185185182</v>
      </c>
      <c r="E10" s="16">
        <f t="shared" si="0"/>
        <v>2.4094444444444445</v>
      </c>
      <c r="F10" s="17">
        <f t="shared" si="1"/>
        <v>14</v>
      </c>
      <c r="G10" s="17">
        <f t="shared" si="2"/>
        <v>4</v>
      </c>
      <c r="H10" s="17">
        <f t="shared" si="3"/>
        <v>2026</v>
      </c>
      <c r="I10" s="17">
        <f t="shared" si="4"/>
        <v>5</v>
      </c>
    </row>
    <row r="11" spans="1:9">
      <c r="A11" s="12">
        <v>46115</v>
      </c>
      <c r="B11" s="19" t="s">
        <v>7</v>
      </c>
      <c r="C11" s="18">
        <v>0.41597222222222219</v>
      </c>
      <c r="D11" s="14">
        <v>0.64650462962962962</v>
      </c>
      <c r="E11" s="16">
        <f t="shared" si="0"/>
        <v>5.5327777777777785</v>
      </c>
      <c r="F11" s="17">
        <f t="shared" si="1"/>
        <v>14</v>
      </c>
      <c r="G11" s="17">
        <f t="shared" si="2"/>
        <v>4</v>
      </c>
      <c r="H11" s="17">
        <f t="shared" si="3"/>
        <v>2026</v>
      </c>
      <c r="I11" s="17">
        <f t="shared" si="4"/>
        <v>6</v>
      </c>
    </row>
    <row r="12" spans="1:9">
      <c r="A12" s="12">
        <v>46116</v>
      </c>
      <c r="B12" s="13" t="s">
        <v>7</v>
      </c>
      <c r="C12" s="18">
        <v>0.33194444444444443</v>
      </c>
      <c r="D12" s="14">
        <v>0.83699074074074076</v>
      </c>
      <c r="E12" s="16">
        <f t="shared" si="0"/>
        <v>12.121111111111111</v>
      </c>
      <c r="F12" s="17">
        <f t="shared" si="1"/>
        <v>14</v>
      </c>
      <c r="G12" s="17">
        <f t="shared" si="2"/>
        <v>4</v>
      </c>
      <c r="H12" s="17">
        <f t="shared" si="3"/>
        <v>2026</v>
      </c>
      <c r="I12" s="17">
        <f t="shared" si="4"/>
        <v>7</v>
      </c>
    </row>
    <row r="13" spans="1:9">
      <c r="A13" s="12">
        <v>46116</v>
      </c>
      <c r="B13" s="13" t="s">
        <v>10</v>
      </c>
      <c r="C13" s="18">
        <v>0.36249999999999999</v>
      </c>
      <c r="D13" s="14">
        <v>0.66784722222222215</v>
      </c>
      <c r="E13" s="16">
        <f t="shared" si="0"/>
        <v>7.3283333333333314</v>
      </c>
      <c r="F13" s="17">
        <f t="shared" si="1"/>
        <v>14</v>
      </c>
      <c r="G13" s="17">
        <f t="shared" si="2"/>
        <v>4</v>
      </c>
      <c r="H13" s="17">
        <f t="shared" si="3"/>
        <v>2026</v>
      </c>
      <c r="I13" s="17">
        <f t="shared" si="4"/>
        <v>7</v>
      </c>
    </row>
    <row r="14" spans="1:9">
      <c r="A14" s="12">
        <v>46118</v>
      </c>
      <c r="B14" s="13" t="s">
        <v>8</v>
      </c>
      <c r="C14" s="18">
        <v>0.3520833333333333</v>
      </c>
      <c r="D14" s="14">
        <v>0.70247685185185194</v>
      </c>
      <c r="E14" s="16">
        <f t="shared" si="0"/>
        <v>8.4094444444444463</v>
      </c>
      <c r="F14" s="17">
        <f t="shared" si="1"/>
        <v>15</v>
      </c>
      <c r="G14" s="17">
        <f t="shared" si="2"/>
        <v>4</v>
      </c>
      <c r="H14" s="17">
        <f t="shared" si="3"/>
        <v>2026</v>
      </c>
      <c r="I14" s="17">
        <f t="shared" si="4"/>
        <v>2</v>
      </c>
    </row>
    <row r="15" spans="1:9">
      <c r="A15" s="12">
        <v>46118</v>
      </c>
      <c r="B15" s="13" t="s">
        <v>7</v>
      </c>
      <c r="C15" s="18">
        <v>0.33333333333333331</v>
      </c>
      <c r="D15" s="14">
        <v>0.83979166666666671</v>
      </c>
      <c r="E15" s="16">
        <f t="shared" si="0"/>
        <v>12.155000000000003</v>
      </c>
      <c r="F15" s="17">
        <f t="shared" si="1"/>
        <v>15</v>
      </c>
      <c r="G15" s="17">
        <f t="shared" si="2"/>
        <v>4</v>
      </c>
      <c r="H15" s="17">
        <f t="shared" si="3"/>
        <v>2026</v>
      </c>
      <c r="I15" s="17">
        <f t="shared" si="4"/>
        <v>2</v>
      </c>
    </row>
    <row r="16" spans="1:9">
      <c r="A16" s="12">
        <v>46118</v>
      </c>
      <c r="B16" s="13" t="s">
        <v>11</v>
      </c>
      <c r="C16" s="18">
        <v>0.33333333333333331</v>
      </c>
      <c r="D16" s="14">
        <v>0.71755787037037033</v>
      </c>
      <c r="E16" s="16">
        <f t="shared" si="0"/>
        <v>9.2213888888888889</v>
      </c>
      <c r="F16" s="17">
        <f t="shared" si="1"/>
        <v>15</v>
      </c>
      <c r="G16" s="17">
        <f t="shared" si="2"/>
        <v>4</v>
      </c>
      <c r="H16" s="17">
        <f t="shared" si="3"/>
        <v>2026</v>
      </c>
      <c r="I16" s="17">
        <f t="shared" si="4"/>
        <v>2</v>
      </c>
    </row>
    <row r="17" spans="1:9">
      <c r="A17" s="12">
        <v>46118</v>
      </c>
      <c r="B17" s="13" t="s">
        <v>10</v>
      </c>
      <c r="C17" s="18">
        <v>0.41388888888888892</v>
      </c>
      <c r="D17" s="14">
        <v>0.64537037037037037</v>
      </c>
      <c r="E17" s="16">
        <f t="shared" si="0"/>
        <v>5.5555555555555554</v>
      </c>
      <c r="F17" s="17">
        <f t="shared" si="1"/>
        <v>15</v>
      </c>
      <c r="G17" s="17">
        <f t="shared" si="2"/>
        <v>4</v>
      </c>
      <c r="H17" s="17">
        <f t="shared" si="3"/>
        <v>2026</v>
      </c>
      <c r="I17" s="17">
        <f t="shared" si="4"/>
        <v>2</v>
      </c>
    </row>
    <row r="18" spans="1:9">
      <c r="A18" s="12">
        <v>46118</v>
      </c>
      <c r="B18" s="13" t="s">
        <v>9</v>
      </c>
      <c r="C18" s="18">
        <v>0.33333333333333331</v>
      </c>
      <c r="D18" s="14">
        <v>0.72849537037037038</v>
      </c>
      <c r="E18" s="16">
        <f t="shared" si="0"/>
        <v>9.4838888888888899</v>
      </c>
      <c r="F18" s="17">
        <f t="shared" si="1"/>
        <v>15</v>
      </c>
      <c r="G18" s="17">
        <f t="shared" si="2"/>
        <v>4</v>
      </c>
      <c r="H18" s="17">
        <f t="shared" si="3"/>
        <v>2026</v>
      </c>
      <c r="I18" s="17">
        <f t="shared" si="4"/>
        <v>2</v>
      </c>
    </row>
    <row r="19" spans="1:9" ht="15.75" customHeight="1">
      <c r="A19" s="12">
        <v>46119</v>
      </c>
      <c r="B19" s="13" t="s">
        <v>8</v>
      </c>
      <c r="C19" s="21">
        <v>0.42291666666666666</v>
      </c>
      <c r="D19" s="14">
        <v>0.70512731481481483</v>
      </c>
      <c r="E19" s="16">
        <f t="shared" si="0"/>
        <v>6.7730555555555565</v>
      </c>
      <c r="F19" s="17">
        <f t="shared" si="1"/>
        <v>15</v>
      </c>
      <c r="G19" s="17">
        <f t="shared" si="2"/>
        <v>4</v>
      </c>
      <c r="H19" s="17">
        <f t="shared" si="3"/>
        <v>2026</v>
      </c>
      <c r="I19" s="17">
        <f t="shared" si="4"/>
        <v>3</v>
      </c>
    </row>
    <row r="20" spans="1:9" ht="15.75" customHeight="1">
      <c r="A20" s="12">
        <v>46119</v>
      </c>
      <c r="B20" s="13" t="s">
        <v>7</v>
      </c>
      <c r="C20" s="18">
        <v>0.40486111111111112</v>
      </c>
      <c r="D20" s="14">
        <v>0.74310185185185185</v>
      </c>
      <c r="E20" s="16">
        <f t="shared" si="0"/>
        <v>8.1177777777777784</v>
      </c>
      <c r="F20" s="17">
        <f t="shared" si="1"/>
        <v>15</v>
      </c>
      <c r="G20" s="17">
        <f t="shared" si="2"/>
        <v>4</v>
      </c>
      <c r="H20" s="17">
        <f t="shared" si="3"/>
        <v>2026</v>
      </c>
      <c r="I20" s="17">
        <f t="shared" si="4"/>
        <v>3</v>
      </c>
    </row>
    <row r="21" spans="1:9" ht="15.75" customHeight="1">
      <c r="A21" s="12">
        <v>46119</v>
      </c>
      <c r="B21" s="13" t="s">
        <v>11</v>
      </c>
      <c r="C21" s="18">
        <v>0.34722222222222227</v>
      </c>
      <c r="D21" s="14">
        <v>0.73534722222222226</v>
      </c>
      <c r="E21" s="16">
        <f t="shared" si="0"/>
        <v>9.3149999999999995</v>
      </c>
      <c r="F21" s="17">
        <f t="shared" si="1"/>
        <v>15</v>
      </c>
      <c r="G21" s="17">
        <f t="shared" si="2"/>
        <v>4</v>
      </c>
      <c r="H21" s="17">
        <f t="shared" si="3"/>
        <v>2026</v>
      </c>
      <c r="I21" s="17">
        <f t="shared" si="4"/>
        <v>3</v>
      </c>
    </row>
    <row r="22" spans="1:9" ht="15.75" customHeight="1">
      <c r="A22" s="12">
        <v>46119</v>
      </c>
      <c r="B22" s="13" t="s">
        <v>6</v>
      </c>
      <c r="C22" s="18">
        <v>0.3347222222222222</v>
      </c>
      <c r="D22" s="14">
        <v>0.7727546296296296</v>
      </c>
      <c r="E22" s="16">
        <f t="shared" si="0"/>
        <v>10.512777777777778</v>
      </c>
      <c r="F22" s="17">
        <f t="shared" si="1"/>
        <v>15</v>
      </c>
      <c r="G22" s="17">
        <f t="shared" si="2"/>
        <v>4</v>
      </c>
      <c r="H22" s="17">
        <f t="shared" si="3"/>
        <v>2026</v>
      </c>
      <c r="I22" s="17">
        <f t="shared" si="4"/>
        <v>3</v>
      </c>
    </row>
    <row r="23" spans="1:9" ht="15.75" customHeight="1">
      <c r="A23" s="12">
        <v>46119</v>
      </c>
      <c r="B23" s="13" t="s">
        <v>10</v>
      </c>
      <c r="C23" s="18">
        <v>0.3756944444444445</v>
      </c>
      <c r="D23" s="14">
        <v>0.73032407407407407</v>
      </c>
      <c r="E23" s="16">
        <f t="shared" si="0"/>
        <v>8.5111111111111093</v>
      </c>
      <c r="F23" s="17">
        <f t="shared" si="1"/>
        <v>15</v>
      </c>
      <c r="G23" s="17">
        <f t="shared" si="2"/>
        <v>4</v>
      </c>
      <c r="H23" s="17">
        <f t="shared" si="3"/>
        <v>2026</v>
      </c>
      <c r="I23" s="17">
        <f t="shared" si="4"/>
        <v>3</v>
      </c>
    </row>
    <row r="24" spans="1:9" ht="15.75" customHeight="1">
      <c r="A24" s="12">
        <v>46119</v>
      </c>
      <c r="B24" s="13" t="s">
        <v>9</v>
      </c>
      <c r="C24" s="18">
        <v>0.34652777777777777</v>
      </c>
      <c r="D24" s="14">
        <v>0.60487268518518522</v>
      </c>
      <c r="E24" s="16">
        <f t="shared" si="0"/>
        <v>6.2002777777777789</v>
      </c>
      <c r="F24" s="17">
        <f t="shared" si="1"/>
        <v>15</v>
      </c>
      <c r="G24" s="17">
        <f t="shared" si="2"/>
        <v>4</v>
      </c>
      <c r="H24" s="17">
        <f t="shared" si="3"/>
        <v>2026</v>
      </c>
      <c r="I24" s="17">
        <f t="shared" si="4"/>
        <v>3</v>
      </c>
    </row>
    <row r="25" spans="1:9" ht="15.75" customHeight="1">
      <c r="A25" s="12">
        <v>46120</v>
      </c>
      <c r="B25" s="13" t="s">
        <v>7</v>
      </c>
      <c r="C25" s="18">
        <v>0.33263888888888887</v>
      </c>
      <c r="D25" s="14">
        <v>0.64045138888888886</v>
      </c>
      <c r="E25" s="16">
        <f t="shared" si="0"/>
        <v>7.3874999999999993</v>
      </c>
      <c r="F25" s="17">
        <f t="shared" si="1"/>
        <v>15</v>
      </c>
      <c r="G25" s="17">
        <f t="shared" si="2"/>
        <v>4</v>
      </c>
      <c r="H25" s="17">
        <f t="shared" si="3"/>
        <v>2026</v>
      </c>
      <c r="I25" s="17">
        <f t="shared" si="4"/>
        <v>4</v>
      </c>
    </row>
    <row r="26" spans="1:9" ht="15.75" customHeight="1">
      <c r="A26" s="12">
        <v>46120</v>
      </c>
      <c r="B26" s="13" t="s">
        <v>6</v>
      </c>
      <c r="C26" s="18">
        <v>0.3298611111111111</v>
      </c>
      <c r="D26" s="18">
        <v>0.72083333333333333</v>
      </c>
      <c r="E26" s="16">
        <f t="shared" si="0"/>
        <v>9.3833333333333329</v>
      </c>
      <c r="F26" s="17">
        <f t="shared" si="1"/>
        <v>15</v>
      </c>
      <c r="G26" s="17">
        <f t="shared" si="2"/>
        <v>4</v>
      </c>
      <c r="H26" s="17">
        <f t="shared" si="3"/>
        <v>2026</v>
      </c>
      <c r="I26" s="17">
        <f t="shared" si="4"/>
        <v>4</v>
      </c>
    </row>
    <row r="27" spans="1:9" ht="15.75" customHeight="1">
      <c r="A27" s="12">
        <v>46120</v>
      </c>
      <c r="B27" s="13" t="s">
        <v>11</v>
      </c>
      <c r="C27" s="18">
        <v>0.33958333333333335</v>
      </c>
      <c r="D27" s="14">
        <v>0.71101851851851849</v>
      </c>
      <c r="E27" s="16">
        <f t="shared" si="0"/>
        <v>8.9144444444444435</v>
      </c>
      <c r="F27" s="17">
        <f t="shared" si="1"/>
        <v>15</v>
      </c>
      <c r="G27" s="17">
        <f t="shared" si="2"/>
        <v>4</v>
      </c>
      <c r="H27" s="17">
        <f t="shared" si="3"/>
        <v>2026</v>
      </c>
      <c r="I27" s="17">
        <f t="shared" si="4"/>
        <v>4</v>
      </c>
    </row>
    <row r="28" spans="1:9" ht="15.75" customHeight="1">
      <c r="A28" s="12">
        <v>46120</v>
      </c>
      <c r="B28" s="13" t="s">
        <v>10</v>
      </c>
      <c r="C28" s="18">
        <v>0.3444444444444445</v>
      </c>
      <c r="D28" s="14">
        <v>0.69795138888888886</v>
      </c>
      <c r="E28" s="16">
        <f t="shared" si="0"/>
        <v>8.4841666666666651</v>
      </c>
      <c r="F28" s="17">
        <f t="shared" si="1"/>
        <v>15</v>
      </c>
      <c r="G28" s="17">
        <f t="shared" si="2"/>
        <v>4</v>
      </c>
      <c r="H28" s="17">
        <f t="shared" si="3"/>
        <v>2026</v>
      </c>
      <c r="I28" s="17">
        <f t="shared" si="4"/>
        <v>4</v>
      </c>
    </row>
    <row r="29" spans="1:9" ht="15.75" customHeight="1">
      <c r="A29" s="12">
        <v>46120</v>
      </c>
      <c r="B29" s="13" t="s">
        <v>9</v>
      </c>
      <c r="C29" s="18">
        <v>0.33958333333333335</v>
      </c>
      <c r="D29" s="14">
        <v>0.71434027777777775</v>
      </c>
      <c r="E29" s="16">
        <f t="shared" si="0"/>
        <v>8.9941666666666649</v>
      </c>
      <c r="F29" s="17">
        <f t="shared" si="1"/>
        <v>15</v>
      </c>
      <c r="G29" s="17">
        <f t="shared" si="2"/>
        <v>4</v>
      </c>
      <c r="H29" s="17">
        <f t="shared" si="3"/>
        <v>2026</v>
      </c>
      <c r="I29" s="17">
        <f t="shared" si="4"/>
        <v>4</v>
      </c>
    </row>
    <row r="30" spans="1:9" ht="15.75" customHeight="1">
      <c r="A30" s="12">
        <v>46121</v>
      </c>
      <c r="B30" s="13" t="s">
        <v>8</v>
      </c>
      <c r="C30" s="18">
        <v>0.35625000000000001</v>
      </c>
      <c r="D30" s="14">
        <v>0.61956018518518519</v>
      </c>
      <c r="E30" s="16">
        <f t="shared" si="0"/>
        <v>6.3194444444444446</v>
      </c>
      <c r="F30" s="17">
        <f t="shared" si="1"/>
        <v>15</v>
      </c>
      <c r="G30" s="17">
        <f t="shared" si="2"/>
        <v>4</v>
      </c>
      <c r="H30" s="17">
        <f t="shared" si="3"/>
        <v>2026</v>
      </c>
      <c r="I30" s="17">
        <f t="shared" si="4"/>
        <v>5</v>
      </c>
    </row>
    <row r="31" spans="1:9" ht="15.75" customHeight="1">
      <c r="A31" s="12">
        <v>46121</v>
      </c>
      <c r="B31" s="13" t="s">
        <v>7</v>
      </c>
      <c r="C31" s="18">
        <v>0.33333333333333331</v>
      </c>
      <c r="D31" s="14">
        <v>0.71790509259259261</v>
      </c>
      <c r="E31" s="16">
        <f t="shared" si="0"/>
        <v>9.2297222222222235</v>
      </c>
      <c r="F31" s="17">
        <f t="shared" si="1"/>
        <v>15</v>
      </c>
      <c r="G31" s="17">
        <f t="shared" si="2"/>
        <v>4</v>
      </c>
      <c r="H31" s="17">
        <f t="shared" si="3"/>
        <v>2026</v>
      </c>
      <c r="I31" s="17">
        <f t="shared" si="4"/>
        <v>5</v>
      </c>
    </row>
    <row r="32" spans="1:9" ht="15.75" customHeight="1">
      <c r="A32" s="12">
        <v>46121</v>
      </c>
      <c r="B32" s="13" t="s">
        <v>6</v>
      </c>
      <c r="C32" s="18">
        <v>0.36180555555555555</v>
      </c>
      <c r="D32" s="14">
        <v>0.69905092592592588</v>
      </c>
      <c r="E32" s="16">
        <f t="shared" si="0"/>
        <v>8.0938888888888876</v>
      </c>
      <c r="F32" s="17">
        <f t="shared" si="1"/>
        <v>15</v>
      </c>
      <c r="G32" s="17">
        <f t="shared" si="2"/>
        <v>4</v>
      </c>
      <c r="H32" s="17">
        <f t="shared" si="3"/>
        <v>2026</v>
      </c>
      <c r="I32" s="17">
        <f t="shared" si="4"/>
        <v>5</v>
      </c>
    </row>
    <row r="33" spans="1:9" ht="15.75" customHeight="1">
      <c r="A33" s="12">
        <v>46121</v>
      </c>
      <c r="B33" s="13" t="s">
        <v>11</v>
      </c>
      <c r="C33" s="18">
        <v>0.33333333333333331</v>
      </c>
      <c r="D33" s="14">
        <v>0.71707175925925926</v>
      </c>
      <c r="E33" s="16">
        <f t="shared" si="0"/>
        <v>9.2097222222222221</v>
      </c>
      <c r="F33" s="17">
        <f t="shared" si="1"/>
        <v>15</v>
      </c>
      <c r="G33" s="17">
        <f t="shared" si="2"/>
        <v>4</v>
      </c>
      <c r="H33" s="17">
        <f t="shared" si="3"/>
        <v>2026</v>
      </c>
      <c r="I33" s="17">
        <f t="shared" si="4"/>
        <v>5</v>
      </c>
    </row>
    <row r="34" spans="1:9" ht="15.75" customHeight="1">
      <c r="A34" s="12">
        <v>46121</v>
      </c>
      <c r="B34" s="13" t="s">
        <v>10</v>
      </c>
      <c r="C34" s="18">
        <v>0.4236111111111111</v>
      </c>
      <c r="D34" s="14">
        <v>0.59185185185185185</v>
      </c>
      <c r="E34" s="16">
        <f t="shared" si="0"/>
        <v>4.0377777777777784</v>
      </c>
      <c r="F34" s="17">
        <f t="shared" si="1"/>
        <v>15</v>
      </c>
      <c r="G34" s="17">
        <f t="shared" si="2"/>
        <v>4</v>
      </c>
      <c r="H34" s="17">
        <f t="shared" si="3"/>
        <v>2026</v>
      </c>
      <c r="I34" s="17">
        <f t="shared" si="4"/>
        <v>5</v>
      </c>
    </row>
    <row r="35" spans="1:9" ht="15.75" customHeight="1">
      <c r="A35" s="12">
        <v>46121</v>
      </c>
      <c r="B35" s="13" t="s">
        <v>9</v>
      </c>
      <c r="C35" s="18">
        <v>0.45763888888888887</v>
      </c>
      <c r="D35" s="14">
        <v>0.63324074074074077</v>
      </c>
      <c r="E35" s="16">
        <f t="shared" si="0"/>
        <v>4.214444444444446</v>
      </c>
      <c r="F35" s="17">
        <f t="shared" si="1"/>
        <v>15</v>
      </c>
      <c r="G35" s="17">
        <f t="shared" si="2"/>
        <v>4</v>
      </c>
      <c r="H35" s="17">
        <f t="shared" si="3"/>
        <v>2026</v>
      </c>
      <c r="I35" s="17">
        <f t="shared" si="4"/>
        <v>5</v>
      </c>
    </row>
    <row r="36" spans="1:9" ht="15.75" customHeight="1">
      <c r="A36" s="12">
        <v>46122</v>
      </c>
      <c r="B36" s="13" t="s">
        <v>8</v>
      </c>
      <c r="C36" s="18">
        <v>0.37083333333333335</v>
      </c>
      <c r="D36" s="14">
        <v>0.70969907407407407</v>
      </c>
      <c r="E36" s="16">
        <f t="shared" si="0"/>
        <v>8.1327777777777772</v>
      </c>
      <c r="F36" s="17">
        <f t="shared" si="1"/>
        <v>15</v>
      </c>
      <c r="G36" s="17">
        <f t="shared" si="2"/>
        <v>4</v>
      </c>
      <c r="H36" s="17">
        <f t="shared" si="3"/>
        <v>2026</v>
      </c>
      <c r="I36" s="17">
        <f t="shared" si="4"/>
        <v>6</v>
      </c>
    </row>
    <row r="37" spans="1:9" ht="15.75" customHeight="1">
      <c r="A37" s="12">
        <v>46122</v>
      </c>
      <c r="B37" s="13" t="s">
        <v>7</v>
      </c>
      <c r="C37" s="18">
        <v>0.33055555555555555</v>
      </c>
      <c r="D37" s="14">
        <v>0.7300578703703704</v>
      </c>
      <c r="E37" s="16">
        <f t="shared" si="0"/>
        <v>9.588055555555556</v>
      </c>
      <c r="F37" s="17">
        <f t="shared" si="1"/>
        <v>15</v>
      </c>
      <c r="G37" s="17">
        <f t="shared" si="2"/>
        <v>4</v>
      </c>
      <c r="H37" s="17">
        <f t="shared" si="3"/>
        <v>2026</v>
      </c>
      <c r="I37" s="17">
        <f t="shared" si="4"/>
        <v>6</v>
      </c>
    </row>
    <row r="38" spans="1:9" ht="15.75" customHeight="1">
      <c r="A38" s="12">
        <v>46122</v>
      </c>
      <c r="B38" s="13" t="s">
        <v>6</v>
      </c>
      <c r="C38" s="18">
        <v>0.33194444444444443</v>
      </c>
      <c r="D38" s="14">
        <v>0.7421875</v>
      </c>
      <c r="E38" s="16">
        <f t="shared" si="0"/>
        <v>9.8458333333333332</v>
      </c>
      <c r="F38" s="17">
        <f t="shared" si="1"/>
        <v>15</v>
      </c>
      <c r="G38" s="17">
        <f t="shared" si="2"/>
        <v>4</v>
      </c>
      <c r="H38" s="17">
        <f t="shared" si="3"/>
        <v>2026</v>
      </c>
      <c r="I38" s="17">
        <f t="shared" si="4"/>
        <v>6</v>
      </c>
    </row>
    <row r="39" spans="1:9" ht="15.75" customHeight="1">
      <c r="A39" s="12">
        <v>46122</v>
      </c>
      <c r="B39" s="13" t="s">
        <v>11</v>
      </c>
      <c r="C39" s="18">
        <v>0.33333333333333331</v>
      </c>
      <c r="D39" s="14">
        <v>0.66672453703703705</v>
      </c>
      <c r="E39" s="16">
        <f t="shared" si="0"/>
        <v>8.00138888888889</v>
      </c>
      <c r="F39" s="17">
        <f t="shared" si="1"/>
        <v>15</v>
      </c>
      <c r="G39" s="17">
        <f t="shared" si="2"/>
        <v>4</v>
      </c>
      <c r="H39" s="17">
        <f t="shared" si="3"/>
        <v>2026</v>
      </c>
      <c r="I39" s="17">
        <f t="shared" si="4"/>
        <v>6</v>
      </c>
    </row>
    <row r="40" spans="1:9" ht="15.75" customHeight="1">
      <c r="A40" s="12">
        <v>46122</v>
      </c>
      <c r="B40" s="13" t="s">
        <v>10</v>
      </c>
      <c r="C40" s="18">
        <v>0.41736111111111113</v>
      </c>
      <c r="D40" s="14">
        <v>0.66793981481481479</v>
      </c>
      <c r="E40" s="16">
        <f t="shared" si="0"/>
        <v>6.0138888888888875</v>
      </c>
      <c r="F40" s="17">
        <f t="shared" si="1"/>
        <v>15</v>
      </c>
      <c r="G40" s="17">
        <f t="shared" si="2"/>
        <v>4</v>
      </c>
      <c r="H40" s="17">
        <f t="shared" si="3"/>
        <v>2026</v>
      </c>
      <c r="I40" s="17">
        <f t="shared" si="4"/>
        <v>6</v>
      </c>
    </row>
    <row r="41" spans="1:9" ht="15.75" customHeight="1">
      <c r="A41" s="12">
        <v>46122</v>
      </c>
      <c r="B41" s="13" t="s">
        <v>9</v>
      </c>
      <c r="C41" s="18">
        <v>0.33958333333333335</v>
      </c>
      <c r="D41" s="14">
        <v>0.5322337962962963</v>
      </c>
      <c r="E41" s="16">
        <f t="shared" si="0"/>
        <v>4.6236111111111109</v>
      </c>
      <c r="F41" s="17">
        <f t="shared" si="1"/>
        <v>15</v>
      </c>
      <c r="G41" s="17">
        <f t="shared" si="2"/>
        <v>4</v>
      </c>
      <c r="H41" s="17">
        <f t="shared" si="3"/>
        <v>2026</v>
      </c>
      <c r="I41" s="17">
        <f t="shared" si="4"/>
        <v>6</v>
      </c>
    </row>
    <row r="42" spans="1:9" ht="15.75" customHeight="1">
      <c r="A42" s="12">
        <v>46123</v>
      </c>
      <c r="B42" s="13" t="s">
        <v>8</v>
      </c>
      <c r="C42" s="18">
        <v>0.33333333333333331</v>
      </c>
      <c r="D42" s="14">
        <v>0.65532407407407411</v>
      </c>
      <c r="E42" s="16">
        <f t="shared" si="0"/>
        <v>7.7277777777777796</v>
      </c>
      <c r="F42" s="17">
        <f t="shared" si="1"/>
        <v>15</v>
      </c>
      <c r="G42" s="17">
        <f t="shared" si="2"/>
        <v>4</v>
      </c>
      <c r="H42" s="17">
        <f t="shared" si="3"/>
        <v>2026</v>
      </c>
      <c r="I42" s="17">
        <f t="shared" si="4"/>
        <v>7</v>
      </c>
    </row>
    <row r="43" spans="1:9" ht="15.75" customHeight="1">
      <c r="A43" s="12">
        <v>46123</v>
      </c>
      <c r="B43" s="13" t="s">
        <v>6</v>
      </c>
      <c r="C43" s="18">
        <v>0.3354166666666667</v>
      </c>
      <c r="D43" s="14">
        <v>0.7091087962962962</v>
      </c>
      <c r="E43" s="16">
        <f t="shared" si="0"/>
        <v>8.9686111111111089</v>
      </c>
      <c r="F43" s="17">
        <f t="shared" si="1"/>
        <v>15</v>
      </c>
      <c r="G43" s="17">
        <f t="shared" si="2"/>
        <v>4</v>
      </c>
      <c r="H43" s="17">
        <f t="shared" si="3"/>
        <v>2026</v>
      </c>
      <c r="I43" s="17">
        <f t="shared" si="4"/>
        <v>7</v>
      </c>
    </row>
    <row r="44" spans="1:9" ht="15.75" customHeight="1">
      <c r="A44" s="12">
        <v>46123</v>
      </c>
      <c r="B44" s="13" t="s">
        <v>11</v>
      </c>
      <c r="C44" s="18">
        <v>0.34930555555555554</v>
      </c>
      <c r="D44" s="14">
        <v>0.72888888888888881</v>
      </c>
      <c r="E44" s="16">
        <f t="shared" si="0"/>
        <v>9.11</v>
      </c>
      <c r="F44" s="17">
        <f t="shared" si="1"/>
        <v>15</v>
      </c>
      <c r="G44" s="17">
        <f t="shared" si="2"/>
        <v>4</v>
      </c>
      <c r="H44" s="17">
        <f t="shared" si="3"/>
        <v>2026</v>
      </c>
      <c r="I44" s="17">
        <f t="shared" si="4"/>
        <v>7</v>
      </c>
    </row>
    <row r="45" spans="1:9" ht="15.75" customHeight="1">
      <c r="A45" s="12">
        <v>46123</v>
      </c>
      <c r="B45" s="13" t="s">
        <v>9</v>
      </c>
      <c r="C45" s="18">
        <v>0.41736111111111113</v>
      </c>
      <c r="D45" s="14">
        <v>0.7562037037037036</v>
      </c>
      <c r="E45" s="16">
        <f t="shared" si="0"/>
        <v>8.1322222222222198</v>
      </c>
      <c r="F45" s="17">
        <f t="shared" si="1"/>
        <v>15</v>
      </c>
      <c r="G45" s="17">
        <f t="shared" si="2"/>
        <v>4</v>
      </c>
      <c r="H45" s="17">
        <f t="shared" si="3"/>
        <v>2026</v>
      </c>
      <c r="I45" s="17">
        <f t="shared" si="4"/>
        <v>7</v>
      </c>
    </row>
    <row r="46" spans="1:9" ht="15.75" customHeight="1">
      <c r="A46" s="12">
        <v>46125</v>
      </c>
      <c r="B46" s="13" t="s">
        <v>8</v>
      </c>
      <c r="C46" s="18">
        <v>0.41666666666666669</v>
      </c>
      <c r="D46" s="14">
        <v>0.71368055555555554</v>
      </c>
      <c r="E46" s="16">
        <f t="shared" si="0"/>
        <v>7.1283333333333321</v>
      </c>
      <c r="F46" s="17">
        <f t="shared" si="1"/>
        <v>16</v>
      </c>
      <c r="G46" s="17">
        <f t="shared" si="2"/>
        <v>4</v>
      </c>
      <c r="H46" s="17">
        <f t="shared" si="3"/>
        <v>2026</v>
      </c>
      <c r="I46" s="17">
        <f t="shared" si="4"/>
        <v>2</v>
      </c>
    </row>
    <row r="47" spans="1:9" ht="15.75" customHeight="1">
      <c r="A47" s="12">
        <v>46125</v>
      </c>
      <c r="B47" s="13" t="s">
        <v>7</v>
      </c>
      <c r="C47" s="18">
        <v>0.34027777777777773</v>
      </c>
      <c r="D47" s="14">
        <v>0.73504629629629636</v>
      </c>
      <c r="E47" s="16">
        <f t="shared" si="0"/>
        <v>9.4744444444444476</v>
      </c>
      <c r="F47" s="17">
        <f t="shared" si="1"/>
        <v>16</v>
      </c>
      <c r="G47" s="17">
        <f t="shared" si="2"/>
        <v>4</v>
      </c>
      <c r="H47" s="17">
        <f t="shared" si="3"/>
        <v>2026</v>
      </c>
      <c r="I47" s="17">
        <f t="shared" si="4"/>
        <v>2</v>
      </c>
    </row>
    <row r="48" spans="1:9" ht="15.75" customHeight="1">
      <c r="A48" s="12">
        <v>46125</v>
      </c>
      <c r="B48" s="13" t="s">
        <v>6</v>
      </c>
      <c r="C48" s="18">
        <v>0.33194444444444443</v>
      </c>
      <c r="D48" s="14">
        <v>0.7368865740740741</v>
      </c>
      <c r="E48" s="16">
        <f t="shared" si="0"/>
        <v>9.7186111111111124</v>
      </c>
      <c r="F48" s="17">
        <f t="shared" si="1"/>
        <v>16</v>
      </c>
      <c r="G48" s="17">
        <f t="shared" si="2"/>
        <v>4</v>
      </c>
      <c r="H48" s="17">
        <f t="shared" si="3"/>
        <v>2026</v>
      </c>
      <c r="I48" s="17">
        <f t="shared" si="4"/>
        <v>2</v>
      </c>
    </row>
    <row r="49" spans="1:9" ht="15.75" customHeight="1">
      <c r="A49" s="12">
        <v>46125</v>
      </c>
      <c r="B49" s="13" t="s">
        <v>11</v>
      </c>
      <c r="C49" s="18">
        <v>0.34652777777777777</v>
      </c>
      <c r="D49" s="14">
        <v>0.69214120370370369</v>
      </c>
      <c r="E49" s="16">
        <f t="shared" si="0"/>
        <v>8.294722222222223</v>
      </c>
      <c r="F49" s="17">
        <f t="shared" si="1"/>
        <v>16</v>
      </c>
      <c r="G49" s="17">
        <f t="shared" si="2"/>
        <v>4</v>
      </c>
      <c r="H49" s="17">
        <f t="shared" si="3"/>
        <v>2026</v>
      </c>
      <c r="I49" s="17">
        <f t="shared" si="4"/>
        <v>2</v>
      </c>
    </row>
    <row r="50" spans="1:9" ht="15.75" customHeight="1">
      <c r="A50" s="12">
        <v>46125</v>
      </c>
      <c r="B50" s="13" t="s">
        <v>9</v>
      </c>
      <c r="C50" s="18">
        <v>0.41736111111111113</v>
      </c>
      <c r="D50" s="14">
        <v>0.64637731481481475</v>
      </c>
      <c r="E50" s="16">
        <f t="shared" si="0"/>
        <v>5.4963888888888874</v>
      </c>
      <c r="F50" s="17">
        <f t="shared" si="1"/>
        <v>16</v>
      </c>
      <c r="G50" s="17">
        <f t="shared" si="2"/>
        <v>4</v>
      </c>
      <c r="H50" s="17">
        <f t="shared" si="3"/>
        <v>2026</v>
      </c>
      <c r="I50" s="17">
        <f t="shared" si="4"/>
        <v>2</v>
      </c>
    </row>
    <row r="51" spans="1:9" ht="15.75" customHeight="1">
      <c r="A51" s="12">
        <v>46126</v>
      </c>
      <c r="B51" s="13" t="s">
        <v>8</v>
      </c>
      <c r="C51" s="18">
        <v>0.33333333333333331</v>
      </c>
      <c r="D51" s="14">
        <v>0.71958333333333335</v>
      </c>
      <c r="E51" s="16">
        <f t="shared" si="0"/>
        <v>9.2700000000000014</v>
      </c>
      <c r="F51" s="17">
        <f t="shared" si="1"/>
        <v>16</v>
      </c>
      <c r="G51" s="17">
        <f t="shared" si="2"/>
        <v>4</v>
      </c>
      <c r="H51" s="17">
        <f t="shared" si="3"/>
        <v>2026</v>
      </c>
      <c r="I51" s="17">
        <f t="shared" si="4"/>
        <v>3</v>
      </c>
    </row>
    <row r="52" spans="1:9" ht="15.75" customHeight="1">
      <c r="A52" s="12">
        <v>46126</v>
      </c>
      <c r="B52" s="13" t="s">
        <v>6</v>
      </c>
      <c r="C52" s="18">
        <v>0.3979166666666667</v>
      </c>
      <c r="D52" s="14">
        <v>0.72193287037037035</v>
      </c>
      <c r="E52" s="16">
        <f t="shared" si="0"/>
        <v>7.7763888888888877</v>
      </c>
      <c r="F52" s="17">
        <f t="shared" si="1"/>
        <v>16</v>
      </c>
      <c r="G52" s="17">
        <f t="shared" si="2"/>
        <v>4</v>
      </c>
      <c r="H52" s="17">
        <f t="shared" si="3"/>
        <v>2026</v>
      </c>
      <c r="I52" s="17">
        <f t="shared" si="4"/>
        <v>3</v>
      </c>
    </row>
    <row r="53" spans="1:9" ht="15.75" customHeight="1">
      <c r="A53" s="12">
        <v>46126</v>
      </c>
      <c r="B53" s="13" t="s">
        <v>11</v>
      </c>
      <c r="C53" s="18">
        <v>0.3756944444444445</v>
      </c>
      <c r="D53" s="14">
        <v>0.74251157407407409</v>
      </c>
      <c r="E53" s="16">
        <f t="shared" si="0"/>
        <v>8.8036111111111097</v>
      </c>
      <c r="F53" s="17">
        <f t="shared" si="1"/>
        <v>16</v>
      </c>
      <c r="G53" s="17">
        <f t="shared" si="2"/>
        <v>4</v>
      </c>
      <c r="H53" s="17">
        <f t="shared" si="3"/>
        <v>2026</v>
      </c>
      <c r="I53" s="17">
        <f t="shared" si="4"/>
        <v>3</v>
      </c>
    </row>
    <row r="54" spans="1:9" ht="15.75" customHeight="1">
      <c r="A54" s="12">
        <v>46126</v>
      </c>
      <c r="B54" s="13" t="s">
        <v>10</v>
      </c>
      <c r="C54" s="18">
        <v>0.33680555555555558</v>
      </c>
      <c r="D54" s="14">
        <v>0.71201388888888895</v>
      </c>
      <c r="E54" s="16">
        <f t="shared" si="0"/>
        <v>9.0050000000000008</v>
      </c>
      <c r="F54" s="17">
        <f t="shared" si="1"/>
        <v>16</v>
      </c>
      <c r="G54" s="17">
        <f t="shared" si="2"/>
        <v>4</v>
      </c>
      <c r="H54" s="17">
        <f t="shared" si="3"/>
        <v>2026</v>
      </c>
      <c r="I54" s="17">
        <f t="shared" si="4"/>
        <v>3</v>
      </c>
    </row>
    <row r="55" spans="1:9" ht="15.75" customHeight="1">
      <c r="A55" s="12">
        <v>46126</v>
      </c>
      <c r="B55" s="13" t="s">
        <v>9</v>
      </c>
      <c r="C55" s="18">
        <v>0.42222222222222222</v>
      </c>
      <c r="D55" s="14">
        <v>0.70891203703703709</v>
      </c>
      <c r="E55" s="16">
        <f t="shared" si="0"/>
        <v>6.8805555555555564</v>
      </c>
      <c r="F55" s="17">
        <f t="shared" si="1"/>
        <v>16</v>
      </c>
      <c r="G55" s="17">
        <f t="shared" si="2"/>
        <v>4</v>
      </c>
      <c r="H55" s="17">
        <f t="shared" si="3"/>
        <v>2026</v>
      </c>
      <c r="I55" s="17">
        <f t="shared" si="4"/>
        <v>3</v>
      </c>
    </row>
    <row r="56" spans="1:9" ht="15.75" customHeight="1">
      <c r="A56" s="12">
        <v>46127</v>
      </c>
      <c r="B56" s="13" t="s">
        <v>8</v>
      </c>
      <c r="C56" s="18">
        <v>0.33333333333333331</v>
      </c>
      <c r="D56" s="14">
        <v>0.67863425925925924</v>
      </c>
      <c r="E56" s="16">
        <f t="shared" si="0"/>
        <v>8.2872222222222227</v>
      </c>
      <c r="F56" s="17">
        <f t="shared" si="1"/>
        <v>16</v>
      </c>
      <c r="G56" s="17">
        <f t="shared" si="2"/>
        <v>4</v>
      </c>
      <c r="H56" s="17">
        <f t="shared" si="3"/>
        <v>2026</v>
      </c>
      <c r="I56" s="17">
        <f t="shared" si="4"/>
        <v>4</v>
      </c>
    </row>
    <row r="57" spans="1:9" ht="15.75" customHeight="1">
      <c r="A57" s="12">
        <v>46127</v>
      </c>
      <c r="B57" s="13" t="s">
        <v>7</v>
      </c>
      <c r="C57" s="18">
        <v>0.40277777777777773</v>
      </c>
      <c r="D57" s="14">
        <v>0.70741898148148152</v>
      </c>
      <c r="E57" s="16">
        <f t="shared" si="0"/>
        <v>7.3113888888888905</v>
      </c>
      <c r="F57" s="17">
        <f t="shared" si="1"/>
        <v>16</v>
      </c>
      <c r="G57" s="17">
        <f t="shared" si="2"/>
        <v>4</v>
      </c>
      <c r="H57" s="17">
        <f t="shared" si="3"/>
        <v>2026</v>
      </c>
      <c r="I57" s="17">
        <f t="shared" si="4"/>
        <v>4</v>
      </c>
    </row>
    <row r="58" spans="1:9" ht="15.75" customHeight="1">
      <c r="A58" s="12">
        <v>46127</v>
      </c>
      <c r="B58" s="13" t="s">
        <v>6</v>
      </c>
      <c r="C58" s="18">
        <v>0.33611111111111108</v>
      </c>
      <c r="D58" s="14">
        <v>0.69406249999999992</v>
      </c>
      <c r="E58" s="16">
        <f t="shared" si="0"/>
        <v>8.5908333333333324</v>
      </c>
      <c r="F58" s="17">
        <f t="shared" si="1"/>
        <v>16</v>
      </c>
      <c r="G58" s="17">
        <f t="shared" si="2"/>
        <v>4</v>
      </c>
      <c r="H58" s="17">
        <f t="shared" si="3"/>
        <v>2026</v>
      </c>
      <c r="I58" s="17">
        <f t="shared" si="4"/>
        <v>4</v>
      </c>
    </row>
    <row r="59" spans="1:9" ht="15.75" customHeight="1">
      <c r="A59" s="12">
        <v>46127</v>
      </c>
      <c r="B59" s="13" t="s">
        <v>11</v>
      </c>
      <c r="C59" s="18">
        <v>0.33333333333333331</v>
      </c>
      <c r="D59" s="14">
        <v>0.68767361111111114</v>
      </c>
      <c r="E59" s="16">
        <f t="shared" si="0"/>
        <v>8.5041666666666682</v>
      </c>
      <c r="F59" s="17">
        <f t="shared" si="1"/>
        <v>16</v>
      </c>
      <c r="G59" s="17">
        <f t="shared" si="2"/>
        <v>4</v>
      </c>
      <c r="H59" s="17">
        <f t="shared" si="3"/>
        <v>2026</v>
      </c>
      <c r="I59" s="17">
        <f t="shared" si="4"/>
        <v>4</v>
      </c>
    </row>
    <row r="60" spans="1:9" ht="15.75" customHeight="1">
      <c r="A60" s="12">
        <v>46127</v>
      </c>
      <c r="B60" s="13" t="s">
        <v>10</v>
      </c>
      <c r="C60" s="18">
        <v>0.45624999999999999</v>
      </c>
      <c r="D60" s="14">
        <v>0.71166666666666656</v>
      </c>
      <c r="E60" s="16">
        <f t="shared" si="0"/>
        <v>6.1299999999999972</v>
      </c>
      <c r="F60" s="17">
        <f t="shared" si="1"/>
        <v>16</v>
      </c>
      <c r="G60" s="17">
        <f t="shared" si="2"/>
        <v>4</v>
      </c>
      <c r="H60" s="17">
        <f t="shared" si="3"/>
        <v>2026</v>
      </c>
      <c r="I60" s="17">
        <f t="shared" si="4"/>
        <v>4</v>
      </c>
    </row>
    <row r="61" spans="1:9" ht="15.75" customHeight="1">
      <c r="A61" s="12">
        <v>46127</v>
      </c>
      <c r="B61" s="13" t="s">
        <v>9</v>
      </c>
      <c r="C61" s="18">
        <v>0.33819444444444446</v>
      </c>
      <c r="D61" s="14">
        <v>0.7375694444444445</v>
      </c>
      <c r="E61" s="16">
        <f t="shared" si="0"/>
        <v>9.5850000000000009</v>
      </c>
      <c r="F61" s="17">
        <f t="shared" si="1"/>
        <v>16</v>
      </c>
      <c r="G61" s="17">
        <f t="shared" si="2"/>
        <v>4</v>
      </c>
      <c r="H61" s="17">
        <f t="shared" si="3"/>
        <v>2026</v>
      </c>
      <c r="I61" s="17">
        <f t="shared" si="4"/>
        <v>4</v>
      </c>
    </row>
    <row r="62" spans="1:9" ht="15.75" customHeight="1">
      <c r="A62" s="12">
        <v>46128</v>
      </c>
      <c r="B62" s="13" t="s">
        <v>8</v>
      </c>
      <c r="C62" s="18">
        <v>0.33333333333333331</v>
      </c>
      <c r="D62" s="14">
        <v>0.71155092592592595</v>
      </c>
      <c r="E62" s="16">
        <f t="shared" si="0"/>
        <v>9.0772222222222236</v>
      </c>
      <c r="F62" s="17">
        <f t="shared" si="1"/>
        <v>16</v>
      </c>
      <c r="G62" s="17">
        <f t="shared" si="2"/>
        <v>4</v>
      </c>
      <c r="H62" s="17">
        <f t="shared" si="3"/>
        <v>2026</v>
      </c>
      <c r="I62" s="17">
        <f t="shared" si="4"/>
        <v>5</v>
      </c>
    </row>
    <row r="63" spans="1:9" ht="15.75" customHeight="1">
      <c r="A63" s="12">
        <v>46128</v>
      </c>
      <c r="B63" s="13" t="s">
        <v>7</v>
      </c>
      <c r="C63" s="18">
        <v>0.60416666666666663</v>
      </c>
      <c r="D63" s="14">
        <v>0.6988078703703704</v>
      </c>
      <c r="E63" s="16">
        <f t="shared" si="0"/>
        <v>2.2713888888888905</v>
      </c>
      <c r="F63" s="17">
        <f t="shared" si="1"/>
        <v>16</v>
      </c>
      <c r="G63" s="17">
        <f t="shared" si="2"/>
        <v>4</v>
      </c>
      <c r="H63" s="17">
        <f t="shared" si="3"/>
        <v>2026</v>
      </c>
      <c r="I63" s="17">
        <f t="shared" si="4"/>
        <v>5</v>
      </c>
    </row>
    <row r="64" spans="1:9" ht="15.75" customHeight="1">
      <c r="A64" s="12">
        <v>46128</v>
      </c>
      <c r="B64" s="13" t="s">
        <v>6</v>
      </c>
      <c r="C64" s="18">
        <v>0.33333333333333331</v>
      </c>
      <c r="D64" s="14">
        <v>0.76393518518518511</v>
      </c>
      <c r="E64" s="16">
        <f t="shared" ref="E64:E82" si="5">IF(OR(C64="", D64=""), 0, (D64-C64)*24)</f>
        <v>10.334444444444443</v>
      </c>
      <c r="F64" s="17">
        <f t="shared" ref="F64:F82" si="6">WEEKNUM(A64)</f>
        <v>16</v>
      </c>
      <c r="G64" s="17">
        <f t="shared" ref="G64:G119" si="7">MONTH(A64)</f>
        <v>4</v>
      </c>
      <c r="H64" s="17">
        <f t="shared" ref="H64:H119" si="8">YEAR(A64)</f>
        <v>2026</v>
      </c>
      <c r="I64" s="17">
        <f t="shared" ref="I64:I119" si="9">WEEKDAY(A64)</f>
        <v>5</v>
      </c>
    </row>
    <row r="65" spans="1:9" ht="15.75" customHeight="1">
      <c r="A65" s="12">
        <v>46128</v>
      </c>
      <c r="B65" s="13" t="s">
        <v>11</v>
      </c>
      <c r="C65" s="18">
        <v>0.33680555555555558</v>
      </c>
      <c r="D65" s="14">
        <v>0.68070601851851853</v>
      </c>
      <c r="E65" s="16">
        <f t="shared" si="5"/>
        <v>8.2536111111111108</v>
      </c>
      <c r="F65" s="17">
        <f t="shared" si="6"/>
        <v>16</v>
      </c>
      <c r="G65" s="17">
        <f t="shared" si="7"/>
        <v>4</v>
      </c>
      <c r="H65" s="17">
        <f t="shared" si="8"/>
        <v>2026</v>
      </c>
      <c r="I65" s="17">
        <f t="shared" si="9"/>
        <v>5</v>
      </c>
    </row>
    <row r="66" spans="1:9" ht="15.75" customHeight="1">
      <c r="A66" s="12">
        <v>46128</v>
      </c>
      <c r="B66" s="13" t="s">
        <v>10</v>
      </c>
      <c r="C66" s="18">
        <v>0.37291666666666662</v>
      </c>
      <c r="D66" s="14">
        <v>0.6542013888888889</v>
      </c>
      <c r="E66" s="16">
        <f t="shared" si="5"/>
        <v>6.7508333333333344</v>
      </c>
      <c r="F66" s="17">
        <f t="shared" si="6"/>
        <v>16</v>
      </c>
      <c r="G66" s="17">
        <f t="shared" si="7"/>
        <v>4</v>
      </c>
      <c r="H66" s="17">
        <f t="shared" si="8"/>
        <v>2026</v>
      </c>
      <c r="I66" s="17">
        <f t="shared" si="9"/>
        <v>5</v>
      </c>
    </row>
    <row r="67" spans="1:9" ht="15.75" customHeight="1">
      <c r="A67" s="12">
        <v>46128</v>
      </c>
      <c r="B67" s="13" t="s">
        <v>9</v>
      </c>
      <c r="C67" s="18">
        <v>0.66666666666666663</v>
      </c>
      <c r="D67" s="14">
        <v>0.6743865740740741</v>
      </c>
      <c r="E67" s="16">
        <f t="shared" si="5"/>
        <v>0.18527777777777921</v>
      </c>
      <c r="F67" s="17">
        <f t="shared" si="6"/>
        <v>16</v>
      </c>
      <c r="G67" s="17">
        <f t="shared" si="7"/>
        <v>4</v>
      </c>
      <c r="H67" s="17">
        <f t="shared" si="8"/>
        <v>2026</v>
      </c>
      <c r="I67" s="17">
        <f t="shared" si="9"/>
        <v>5</v>
      </c>
    </row>
    <row r="68" spans="1:9" ht="15.75" customHeight="1">
      <c r="A68" s="12">
        <v>46129</v>
      </c>
      <c r="B68" s="13" t="s">
        <v>8</v>
      </c>
      <c r="C68" s="18">
        <v>0.36319444444444443</v>
      </c>
      <c r="D68" s="14">
        <v>0.72237268518518516</v>
      </c>
      <c r="E68" s="16">
        <f t="shared" si="5"/>
        <v>8.6202777777777779</v>
      </c>
      <c r="F68" s="17">
        <f t="shared" si="6"/>
        <v>16</v>
      </c>
      <c r="G68" s="17">
        <f t="shared" si="7"/>
        <v>4</v>
      </c>
      <c r="H68" s="17">
        <f t="shared" si="8"/>
        <v>2026</v>
      </c>
      <c r="I68" s="17">
        <f t="shared" si="9"/>
        <v>6</v>
      </c>
    </row>
    <row r="69" spans="1:9" ht="15.75" customHeight="1">
      <c r="A69" s="12">
        <v>46129</v>
      </c>
      <c r="B69" s="13" t="s">
        <v>7</v>
      </c>
      <c r="C69" s="18">
        <v>0.32430555555555557</v>
      </c>
      <c r="D69" s="14">
        <v>0.74234953703703699</v>
      </c>
      <c r="E69" s="16">
        <f t="shared" si="5"/>
        <v>10.033055555555555</v>
      </c>
      <c r="F69" s="17">
        <f t="shared" si="6"/>
        <v>16</v>
      </c>
      <c r="G69" s="17">
        <f t="shared" si="7"/>
        <v>4</v>
      </c>
      <c r="H69" s="17">
        <f t="shared" si="8"/>
        <v>2026</v>
      </c>
      <c r="I69" s="17">
        <f t="shared" si="9"/>
        <v>6</v>
      </c>
    </row>
    <row r="70" spans="1:9" ht="15.75" customHeight="1">
      <c r="A70" s="12">
        <v>46129</v>
      </c>
      <c r="B70" s="13" t="s">
        <v>6</v>
      </c>
      <c r="C70" s="18">
        <v>0.3347222222222222</v>
      </c>
      <c r="D70" s="14">
        <v>0.74250000000000005</v>
      </c>
      <c r="E70" s="16">
        <f t="shared" si="5"/>
        <v>9.7866666666666688</v>
      </c>
      <c r="F70" s="17">
        <f t="shared" si="6"/>
        <v>16</v>
      </c>
      <c r="G70" s="17">
        <f t="shared" si="7"/>
        <v>4</v>
      </c>
      <c r="H70" s="17">
        <f t="shared" si="8"/>
        <v>2026</v>
      </c>
      <c r="I70" s="17">
        <f t="shared" si="9"/>
        <v>6</v>
      </c>
    </row>
    <row r="71" spans="1:9" ht="15.75" customHeight="1">
      <c r="A71" s="12">
        <v>46129</v>
      </c>
      <c r="B71" s="13" t="s">
        <v>11</v>
      </c>
      <c r="C71" s="15">
        <v>0.41666666666666669</v>
      </c>
      <c r="D71" s="14">
        <v>0.67424768518518519</v>
      </c>
      <c r="E71" s="16">
        <f t="shared" si="5"/>
        <v>6.1819444444444436</v>
      </c>
      <c r="F71" s="17">
        <f t="shared" si="6"/>
        <v>16</v>
      </c>
      <c r="G71" s="17">
        <f t="shared" si="7"/>
        <v>4</v>
      </c>
      <c r="H71" s="17">
        <f t="shared" si="8"/>
        <v>2026</v>
      </c>
      <c r="I71" s="17">
        <f t="shared" si="9"/>
        <v>6</v>
      </c>
    </row>
    <row r="72" spans="1:9" ht="15.75" customHeight="1">
      <c r="A72" s="12">
        <v>46129</v>
      </c>
      <c r="B72" s="13" t="s">
        <v>10</v>
      </c>
      <c r="C72" s="18">
        <v>0.34166666666666662</v>
      </c>
      <c r="D72" s="14">
        <v>0.69037037037037041</v>
      </c>
      <c r="E72" s="16">
        <f t="shared" si="5"/>
        <v>8.3688888888888915</v>
      </c>
      <c r="F72" s="17">
        <f t="shared" si="6"/>
        <v>16</v>
      </c>
      <c r="G72" s="17">
        <f t="shared" si="7"/>
        <v>4</v>
      </c>
      <c r="H72" s="17">
        <f t="shared" si="8"/>
        <v>2026</v>
      </c>
      <c r="I72" s="17">
        <f t="shared" si="9"/>
        <v>6</v>
      </c>
    </row>
    <row r="73" spans="1:9" ht="15.75" customHeight="1">
      <c r="A73" s="12">
        <v>46129</v>
      </c>
      <c r="B73" s="13" t="s">
        <v>9</v>
      </c>
      <c r="C73" s="15">
        <v>0.42152777777777778</v>
      </c>
      <c r="D73" s="14">
        <v>0.73344907407407411</v>
      </c>
      <c r="E73" s="16">
        <f t="shared" si="5"/>
        <v>7.4861111111111125</v>
      </c>
      <c r="F73" s="17">
        <f t="shared" si="6"/>
        <v>16</v>
      </c>
      <c r="G73" s="17">
        <f t="shared" si="7"/>
        <v>4</v>
      </c>
      <c r="H73" s="17">
        <f t="shared" si="8"/>
        <v>2026</v>
      </c>
      <c r="I73" s="17">
        <f t="shared" si="9"/>
        <v>6</v>
      </c>
    </row>
    <row r="74" spans="1:9" ht="15.75" customHeight="1">
      <c r="A74" s="12">
        <v>46130</v>
      </c>
      <c r="B74" s="13" t="s">
        <v>7</v>
      </c>
      <c r="C74" s="18">
        <v>0.3298611111111111</v>
      </c>
      <c r="D74" s="14">
        <v>0.7313425925925926</v>
      </c>
      <c r="E74" s="16">
        <f t="shared" si="5"/>
        <v>9.6355555555555554</v>
      </c>
      <c r="F74" s="17">
        <f t="shared" si="6"/>
        <v>16</v>
      </c>
      <c r="G74" s="17">
        <f t="shared" si="7"/>
        <v>4</v>
      </c>
      <c r="H74" s="17">
        <f t="shared" si="8"/>
        <v>2026</v>
      </c>
      <c r="I74" s="17">
        <f t="shared" si="9"/>
        <v>7</v>
      </c>
    </row>
    <row r="75" spans="1:9" ht="15.75" customHeight="1">
      <c r="A75" s="12">
        <v>46130</v>
      </c>
      <c r="B75" s="13" t="s">
        <v>6</v>
      </c>
      <c r="C75" s="18">
        <v>0.33124999999999999</v>
      </c>
      <c r="D75" s="14">
        <v>0.72167824074074083</v>
      </c>
      <c r="E75" s="16">
        <f t="shared" si="5"/>
        <v>9.3702777777777797</v>
      </c>
      <c r="F75" s="17">
        <f t="shared" si="6"/>
        <v>16</v>
      </c>
      <c r="G75" s="17">
        <f t="shared" si="7"/>
        <v>4</v>
      </c>
      <c r="H75" s="17">
        <f t="shared" si="8"/>
        <v>2026</v>
      </c>
      <c r="I75" s="17">
        <f t="shared" si="9"/>
        <v>7</v>
      </c>
    </row>
    <row r="76" spans="1:9" ht="15.75" customHeight="1">
      <c r="A76" s="12">
        <v>46130</v>
      </c>
      <c r="B76" s="13" t="s">
        <v>11</v>
      </c>
      <c r="C76" s="18">
        <v>0.34930555555555554</v>
      </c>
      <c r="D76" s="14">
        <v>0.74121527777777774</v>
      </c>
      <c r="E76" s="16">
        <f t="shared" si="5"/>
        <v>9.4058333333333337</v>
      </c>
      <c r="F76" s="17">
        <f t="shared" si="6"/>
        <v>16</v>
      </c>
      <c r="G76" s="17">
        <f t="shared" si="7"/>
        <v>4</v>
      </c>
      <c r="H76" s="17">
        <f t="shared" si="8"/>
        <v>2026</v>
      </c>
      <c r="I76" s="17">
        <f t="shared" si="9"/>
        <v>7</v>
      </c>
    </row>
    <row r="77" spans="1:9" ht="15.75" customHeight="1">
      <c r="A77" s="12">
        <v>46130</v>
      </c>
      <c r="B77" s="13" t="s">
        <v>10</v>
      </c>
      <c r="C77" s="18">
        <v>0.3354166666666667</v>
      </c>
      <c r="D77" s="14">
        <v>0.70747685185185183</v>
      </c>
      <c r="E77" s="16">
        <f t="shared" si="5"/>
        <v>8.9294444444444423</v>
      </c>
      <c r="F77" s="17">
        <f t="shared" si="6"/>
        <v>16</v>
      </c>
      <c r="G77" s="17">
        <f t="shared" si="7"/>
        <v>4</v>
      </c>
      <c r="H77" s="17">
        <f t="shared" si="8"/>
        <v>2026</v>
      </c>
      <c r="I77" s="17">
        <f t="shared" si="9"/>
        <v>7</v>
      </c>
    </row>
    <row r="78" spans="1:9" ht="15.75" customHeight="1">
      <c r="A78" s="12">
        <v>46132</v>
      </c>
      <c r="B78" s="13" t="s">
        <v>8</v>
      </c>
      <c r="C78" s="18">
        <v>0.33333333333333331</v>
      </c>
      <c r="D78" s="14">
        <v>0.72474537037037035</v>
      </c>
      <c r="E78" s="16">
        <f t="shared" si="5"/>
        <v>9.3938888888888883</v>
      </c>
      <c r="F78" s="17">
        <f t="shared" si="6"/>
        <v>17</v>
      </c>
      <c r="G78" s="17">
        <f t="shared" si="7"/>
        <v>4</v>
      </c>
      <c r="H78" s="17">
        <f t="shared" si="8"/>
        <v>2026</v>
      </c>
      <c r="I78" s="17">
        <f t="shared" si="9"/>
        <v>2</v>
      </c>
    </row>
    <row r="79" spans="1:9" ht="15.75" customHeight="1">
      <c r="A79" s="12">
        <v>46132</v>
      </c>
      <c r="B79" s="13" t="s">
        <v>7</v>
      </c>
      <c r="C79" s="18">
        <v>0.32777777777777778</v>
      </c>
      <c r="D79" s="14">
        <v>0.69723379629629623</v>
      </c>
      <c r="E79" s="16">
        <f t="shared" si="5"/>
        <v>8.8669444444444423</v>
      </c>
      <c r="F79" s="17">
        <f t="shared" si="6"/>
        <v>17</v>
      </c>
      <c r="G79" s="17">
        <f t="shared" si="7"/>
        <v>4</v>
      </c>
      <c r="H79" s="17">
        <f t="shared" si="8"/>
        <v>2026</v>
      </c>
      <c r="I79" s="17">
        <f t="shared" si="9"/>
        <v>2</v>
      </c>
    </row>
    <row r="80" spans="1:9" ht="15.75" customHeight="1">
      <c r="A80" s="12">
        <v>46132</v>
      </c>
      <c r="B80" s="13" t="s">
        <v>6</v>
      </c>
      <c r="C80" s="18">
        <v>0.31875000000000003</v>
      </c>
      <c r="D80" s="14">
        <v>0.74988425925925928</v>
      </c>
      <c r="E80" s="16">
        <f t="shared" si="5"/>
        <v>10.347222222222221</v>
      </c>
      <c r="F80" s="17">
        <f t="shared" si="6"/>
        <v>17</v>
      </c>
      <c r="G80" s="17">
        <f t="shared" si="7"/>
        <v>4</v>
      </c>
      <c r="H80" s="17">
        <f t="shared" si="8"/>
        <v>2026</v>
      </c>
      <c r="I80" s="17">
        <f t="shared" si="9"/>
        <v>2</v>
      </c>
    </row>
    <row r="81" spans="1:9" ht="15.75" customHeight="1">
      <c r="A81" s="12">
        <v>46132</v>
      </c>
      <c r="B81" s="13" t="s">
        <v>10</v>
      </c>
      <c r="C81" s="18">
        <v>0.40625</v>
      </c>
      <c r="D81" s="14">
        <v>0.72160879629629626</v>
      </c>
      <c r="E81" s="16">
        <f t="shared" si="5"/>
        <v>7.5686111111111103</v>
      </c>
      <c r="F81" s="17">
        <f t="shared" si="6"/>
        <v>17</v>
      </c>
      <c r="G81" s="17">
        <f t="shared" si="7"/>
        <v>4</v>
      </c>
      <c r="H81" s="17">
        <f t="shared" si="8"/>
        <v>2026</v>
      </c>
      <c r="I81" s="17">
        <f t="shared" si="9"/>
        <v>2</v>
      </c>
    </row>
    <row r="82" spans="1:9" ht="15.75" customHeight="1">
      <c r="A82" s="12">
        <v>46132</v>
      </c>
      <c r="B82" s="13" t="s">
        <v>9</v>
      </c>
      <c r="C82" s="18">
        <v>0.33333333333333331</v>
      </c>
      <c r="D82" s="14">
        <v>0.70460648148148142</v>
      </c>
      <c r="E82" s="16">
        <f t="shared" si="5"/>
        <v>8.910555555555554</v>
      </c>
      <c r="F82" s="17">
        <f t="shared" si="6"/>
        <v>17</v>
      </c>
      <c r="G82" s="17">
        <f t="shared" si="7"/>
        <v>4</v>
      </c>
      <c r="H82" s="17">
        <f t="shared" si="8"/>
        <v>2026</v>
      </c>
      <c r="I82" s="17">
        <f t="shared" si="9"/>
        <v>2</v>
      </c>
    </row>
    <row r="83" spans="1:9" ht="15.75" customHeight="1">
      <c r="A83" s="12">
        <v>46133</v>
      </c>
      <c r="B83" s="13" t="s">
        <v>8</v>
      </c>
      <c r="C83" s="18">
        <v>0.33333333333333331</v>
      </c>
      <c r="D83" s="14">
        <v>0.61964120370370368</v>
      </c>
      <c r="E83" s="16">
        <f t="shared" ref="E83:E141" si="10">IF(OR(C83="", D83=""), 0, (D83-C83)*24)</f>
        <v>6.8713888888888892</v>
      </c>
      <c r="F83" s="17">
        <f t="shared" ref="F83:F141" si="11">WEEKNUM(A83)</f>
        <v>17</v>
      </c>
      <c r="G83" s="17">
        <f t="shared" si="7"/>
        <v>4</v>
      </c>
      <c r="H83" s="17">
        <f t="shared" si="8"/>
        <v>2026</v>
      </c>
      <c r="I83" s="17">
        <f t="shared" si="9"/>
        <v>3</v>
      </c>
    </row>
    <row r="84" spans="1:9" ht="15.75" customHeight="1">
      <c r="A84" s="12">
        <v>46133</v>
      </c>
      <c r="B84" s="13" t="s">
        <v>7</v>
      </c>
      <c r="C84" s="18">
        <v>0.4548611111111111</v>
      </c>
      <c r="D84" s="14">
        <v>0.62031249999999993</v>
      </c>
      <c r="E84" s="16">
        <f t="shared" si="10"/>
        <v>3.9708333333333319</v>
      </c>
      <c r="F84" s="17">
        <f t="shared" si="11"/>
        <v>17</v>
      </c>
      <c r="G84" s="17">
        <f t="shared" si="7"/>
        <v>4</v>
      </c>
      <c r="H84" s="17">
        <f t="shared" si="8"/>
        <v>2026</v>
      </c>
      <c r="I84" s="17">
        <f t="shared" si="9"/>
        <v>3</v>
      </c>
    </row>
    <row r="85" spans="1:9" ht="15.75" customHeight="1">
      <c r="A85" s="12">
        <v>46133</v>
      </c>
      <c r="B85" s="13" t="s">
        <v>11</v>
      </c>
      <c r="C85" s="18">
        <v>0.3666666666666667</v>
      </c>
      <c r="D85" s="14">
        <v>0.73964120370370379</v>
      </c>
      <c r="E85" s="16">
        <f t="shared" si="10"/>
        <v>8.9513888888888893</v>
      </c>
      <c r="F85" s="17">
        <f t="shared" si="11"/>
        <v>17</v>
      </c>
      <c r="G85" s="17">
        <f t="shared" si="7"/>
        <v>4</v>
      </c>
      <c r="H85" s="17">
        <f t="shared" si="8"/>
        <v>2026</v>
      </c>
      <c r="I85" s="17">
        <f t="shared" si="9"/>
        <v>3</v>
      </c>
    </row>
    <row r="86" spans="1:9" ht="15.75" customHeight="1">
      <c r="A86" s="12">
        <v>46133</v>
      </c>
      <c r="B86" s="13" t="s">
        <v>10</v>
      </c>
      <c r="C86" s="18">
        <v>0.41319444444444442</v>
      </c>
      <c r="D86" s="14">
        <v>0.70815972222222223</v>
      </c>
      <c r="E86" s="16">
        <f t="shared" si="10"/>
        <v>7.0791666666666675</v>
      </c>
      <c r="F86" s="17">
        <f t="shared" si="11"/>
        <v>17</v>
      </c>
      <c r="G86" s="17">
        <f t="shared" si="7"/>
        <v>4</v>
      </c>
      <c r="H86" s="17">
        <f t="shared" si="8"/>
        <v>2026</v>
      </c>
      <c r="I86" s="17">
        <f t="shared" si="9"/>
        <v>3</v>
      </c>
    </row>
    <row r="87" spans="1:9" ht="15.75" customHeight="1">
      <c r="A87" s="12">
        <v>46133</v>
      </c>
      <c r="B87" s="13" t="s">
        <v>9</v>
      </c>
      <c r="C87" s="18">
        <v>0.3430555555555555</v>
      </c>
      <c r="D87" s="14">
        <v>0.41723379629629626</v>
      </c>
      <c r="E87" s="16">
        <f t="shared" si="10"/>
        <v>1.7802777777777781</v>
      </c>
      <c r="F87" s="17">
        <f t="shared" si="11"/>
        <v>17</v>
      </c>
      <c r="G87" s="17">
        <f t="shared" si="7"/>
        <v>4</v>
      </c>
      <c r="H87" s="17">
        <f t="shared" si="8"/>
        <v>2026</v>
      </c>
      <c r="I87" s="17">
        <f t="shared" si="9"/>
        <v>3</v>
      </c>
    </row>
    <row r="88" spans="1:9" ht="15.75" customHeight="1">
      <c r="A88" s="12">
        <v>46134</v>
      </c>
      <c r="B88" s="13" t="s">
        <v>8</v>
      </c>
      <c r="C88" s="18">
        <v>0.33333333333333331</v>
      </c>
      <c r="D88" s="14">
        <v>0.7146527777777778</v>
      </c>
      <c r="E88" s="16">
        <f t="shared" si="10"/>
        <v>9.1516666666666673</v>
      </c>
      <c r="F88" s="17">
        <f t="shared" si="11"/>
        <v>17</v>
      </c>
      <c r="G88" s="17">
        <f t="shared" si="7"/>
        <v>4</v>
      </c>
      <c r="H88" s="17">
        <f t="shared" si="8"/>
        <v>2026</v>
      </c>
      <c r="I88" s="17">
        <f t="shared" si="9"/>
        <v>4</v>
      </c>
    </row>
    <row r="89" spans="1:9" ht="15.75" customHeight="1">
      <c r="A89" s="12">
        <v>46134</v>
      </c>
      <c r="B89" s="13" t="s">
        <v>7</v>
      </c>
      <c r="C89" s="18">
        <v>0.32569444444444445</v>
      </c>
      <c r="D89" s="14">
        <v>0.73802083333333324</v>
      </c>
      <c r="E89" s="16">
        <f t="shared" si="10"/>
        <v>9.8958333333333304</v>
      </c>
      <c r="F89" s="17">
        <f t="shared" si="11"/>
        <v>17</v>
      </c>
      <c r="G89" s="17">
        <f t="shared" si="7"/>
        <v>4</v>
      </c>
      <c r="H89" s="17">
        <f t="shared" si="8"/>
        <v>2026</v>
      </c>
      <c r="I89" s="17">
        <f t="shared" si="9"/>
        <v>4</v>
      </c>
    </row>
    <row r="90" spans="1:9" ht="15.75" customHeight="1">
      <c r="A90" s="12">
        <v>46134</v>
      </c>
      <c r="B90" s="13" t="s">
        <v>6</v>
      </c>
      <c r="C90" s="18">
        <v>0.4291666666666667</v>
      </c>
      <c r="D90" s="14">
        <v>0.69178240740740737</v>
      </c>
      <c r="E90" s="16">
        <f t="shared" si="10"/>
        <v>6.3027777777777763</v>
      </c>
      <c r="F90" s="17">
        <f t="shared" si="11"/>
        <v>17</v>
      </c>
      <c r="G90" s="17">
        <f t="shared" si="7"/>
        <v>4</v>
      </c>
      <c r="H90" s="17">
        <f t="shared" si="8"/>
        <v>2026</v>
      </c>
      <c r="I90" s="17">
        <f t="shared" si="9"/>
        <v>4</v>
      </c>
    </row>
    <row r="91" spans="1:9" ht="15.75" customHeight="1">
      <c r="A91" s="12">
        <v>46134</v>
      </c>
      <c r="B91" s="13" t="s">
        <v>11</v>
      </c>
      <c r="C91" s="18">
        <v>0.34791666666666665</v>
      </c>
      <c r="D91" s="14">
        <v>0.69822916666666668</v>
      </c>
      <c r="E91" s="16">
        <f t="shared" si="10"/>
        <v>8.4075000000000006</v>
      </c>
      <c r="F91" s="17">
        <f t="shared" si="11"/>
        <v>17</v>
      </c>
      <c r="G91" s="17">
        <f t="shared" si="7"/>
        <v>4</v>
      </c>
      <c r="H91" s="17">
        <f t="shared" si="8"/>
        <v>2026</v>
      </c>
      <c r="I91" s="17">
        <f t="shared" si="9"/>
        <v>4</v>
      </c>
    </row>
    <row r="92" spans="1:9" ht="15.75" customHeight="1">
      <c r="A92" s="12">
        <v>46134</v>
      </c>
      <c r="B92" s="13" t="s">
        <v>10</v>
      </c>
      <c r="C92" s="18">
        <v>0.33888888888888885</v>
      </c>
      <c r="D92" s="14">
        <v>0.69475694444444447</v>
      </c>
      <c r="E92" s="16">
        <f t="shared" si="10"/>
        <v>8.5408333333333353</v>
      </c>
      <c r="F92" s="17">
        <f t="shared" si="11"/>
        <v>17</v>
      </c>
      <c r="G92" s="17">
        <f t="shared" si="7"/>
        <v>4</v>
      </c>
      <c r="H92" s="17">
        <f t="shared" si="8"/>
        <v>2026</v>
      </c>
      <c r="I92" s="17">
        <f t="shared" si="9"/>
        <v>4</v>
      </c>
    </row>
    <row r="93" spans="1:9" ht="15" customHeight="1">
      <c r="A93" s="12">
        <v>46135</v>
      </c>
      <c r="B93" s="13" t="s">
        <v>8</v>
      </c>
      <c r="C93" s="18">
        <v>0.33333333333333331</v>
      </c>
      <c r="D93" s="14">
        <v>0.71393518518518517</v>
      </c>
      <c r="E93" s="16">
        <f t="shared" si="10"/>
        <v>9.1344444444444441</v>
      </c>
      <c r="F93" s="17">
        <f t="shared" si="11"/>
        <v>17</v>
      </c>
      <c r="G93" s="17">
        <f t="shared" si="7"/>
        <v>4</v>
      </c>
      <c r="H93" s="17">
        <f t="shared" si="8"/>
        <v>2026</v>
      </c>
      <c r="I93" s="17">
        <f t="shared" si="9"/>
        <v>5</v>
      </c>
    </row>
    <row r="94" spans="1:9" ht="15" customHeight="1">
      <c r="A94" s="12">
        <v>46135</v>
      </c>
      <c r="B94" s="13" t="s">
        <v>7</v>
      </c>
      <c r="C94" s="18">
        <v>0.36249999999999999</v>
      </c>
      <c r="D94" s="14">
        <v>0.72879629629629628</v>
      </c>
      <c r="E94" s="16">
        <f t="shared" si="10"/>
        <v>8.7911111111111104</v>
      </c>
      <c r="F94" s="17">
        <f t="shared" si="11"/>
        <v>17</v>
      </c>
      <c r="G94" s="17">
        <f t="shared" si="7"/>
        <v>4</v>
      </c>
      <c r="H94" s="17">
        <f t="shared" si="8"/>
        <v>2026</v>
      </c>
      <c r="I94" s="17">
        <f t="shared" si="9"/>
        <v>5</v>
      </c>
    </row>
    <row r="95" spans="1:9" ht="15" customHeight="1">
      <c r="A95" s="12">
        <v>46135</v>
      </c>
      <c r="B95" s="13" t="s">
        <v>6</v>
      </c>
      <c r="C95" s="18">
        <v>0.33333333333333331</v>
      </c>
      <c r="D95" s="14">
        <v>0.751886574074074</v>
      </c>
      <c r="E95" s="16">
        <f t="shared" si="10"/>
        <v>10.045277777777777</v>
      </c>
      <c r="F95" s="17">
        <f t="shared" si="11"/>
        <v>17</v>
      </c>
      <c r="G95" s="17">
        <f t="shared" si="7"/>
        <v>4</v>
      </c>
      <c r="H95" s="17">
        <f t="shared" si="8"/>
        <v>2026</v>
      </c>
      <c r="I95" s="17">
        <f t="shared" si="9"/>
        <v>5</v>
      </c>
    </row>
    <row r="96" spans="1:9" ht="15" customHeight="1">
      <c r="A96" s="12">
        <v>46135</v>
      </c>
      <c r="B96" s="13" t="s">
        <v>11</v>
      </c>
      <c r="C96" s="18">
        <v>0.3444444444444445</v>
      </c>
      <c r="D96" s="14">
        <v>0.67335648148148142</v>
      </c>
      <c r="E96" s="16">
        <f t="shared" si="10"/>
        <v>7.8938888888888865</v>
      </c>
      <c r="F96" s="17">
        <f t="shared" si="11"/>
        <v>17</v>
      </c>
      <c r="G96" s="17">
        <f t="shared" si="7"/>
        <v>4</v>
      </c>
      <c r="H96" s="17">
        <f t="shared" si="8"/>
        <v>2026</v>
      </c>
      <c r="I96" s="17">
        <f t="shared" si="9"/>
        <v>5</v>
      </c>
    </row>
    <row r="97" spans="1:9" ht="15" customHeight="1">
      <c r="A97" s="12">
        <v>46135</v>
      </c>
      <c r="B97" s="13" t="s">
        <v>10</v>
      </c>
      <c r="C97" s="18">
        <v>0.33680555555555558</v>
      </c>
      <c r="D97" s="14">
        <v>0.70028935185185182</v>
      </c>
      <c r="E97" s="16">
        <f t="shared" si="10"/>
        <v>8.7236111111111097</v>
      </c>
      <c r="F97" s="17">
        <f t="shared" si="11"/>
        <v>17</v>
      </c>
      <c r="G97" s="17">
        <f t="shared" si="7"/>
        <v>4</v>
      </c>
      <c r="H97" s="17">
        <f t="shared" si="8"/>
        <v>2026</v>
      </c>
      <c r="I97" s="17">
        <f t="shared" si="9"/>
        <v>5</v>
      </c>
    </row>
    <row r="98" spans="1:9" ht="15" customHeight="1">
      <c r="A98" s="12">
        <v>46135</v>
      </c>
      <c r="B98" s="13" t="s">
        <v>9</v>
      </c>
      <c r="C98" s="18">
        <v>0.34027777777777773</v>
      </c>
      <c r="D98" s="14">
        <v>0.72466435185185185</v>
      </c>
      <c r="E98" s="16">
        <f t="shared" si="10"/>
        <v>9.2252777777777784</v>
      </c>
      <c r="F98" s="17">
        <f t="shared" si="11"/>
        <v>17</v>
      </c>
      <c r="G98" s="17">
        <f t="shared" si="7"/>
        <v>4</v>
      </c>
      <c r="H98" s="17">
        <f t="shared" si="8"/>
        <v>2026</v>
      </c>
      <c r="I98" s="17">
        <f t="shared" si="9"/>
        <v>5</v>
      </c>
    </row>
    <row r="99" spans="1:9" ht="15" customHeight="1">
      <c r="A99" s="12">
        <v>46136</v>
      </c>
      <c r="B99" s="13" t="s">
        <v>8</v>
      </c>
      <c r="C99" s="18">
        <v>0.33333333333333331</v>
      </c>
      <c r="D99" s="14">
        <v>0.72204861111111107</v>
      </c>
      <c r="E99" s="16">
        <f t="shared" si="10"/>
        <v>9.3291666666666657</v>
      </c>
      <c r="F99" s="17">
        <f t="shared" si="11"/>
        <v>17</v>
      </c>
      <c r="G99" s="17">
        <f t="shared" si="7"/>
        <v>4</v>
      </c>
      <c r="H99" s="17">
        <f t="shared" si="8"/>
        <v>2026</v>
      </c>
      <c r="I99" s="17">
        <f t="shared" si="9"/>
        <v>6</v>
      </c>
    </row>
    <row r="100" spans="1:9" ht="15" customHeight="1">
      <c r="A100" s="12">
        <v>46136</v>
      </c>
      <c r="B100" s="13" t="s">
        <v>7</v>
      </c>
      <c r="C100" s="18">
        <v>0.33958333333333335</v>
      </c>
      <c r="D100" s="14">
        <v>0.70027777777777767</v>
      </c>
      <c r="E100" s="16">
        <f t="shared" si="10"/>
        <v>8.6566666666666627</v>
      </c>
      <c r="F100" s="17">
        <f t="shared" si="11"/>
        <v>17</v>
      </c>
      <c r="G100" s="17">
        <f t="shared" si="7"/>
        <v>4</v>
      </c>
      <c r="H100" s="17">
        <f t="shared" si="8"/>
        <v>2026</v>
      </c>
      <c r="I100" s="17">
        <f t="shared" si="9"/>
        <v>6</v>
      </c>
    </row>
    <row r="101" spans="1:9" ht="15" customHeight="1">
      <c r="A101" s="12">
        <v>46136</v>
      </c>
      <c r="B101" s="13" t="s">
        <v>6</v>
      </c>
      <c r="C101" s="15">
        <v>0.33263888888888887</v>
      </c>
      <c r="D101" s="14">
        <v>0.72910879629629621</v>
      </c>
      <c r="E101" s="16">
        <f t="shared" si="10"/>
        <v>9.5152777777777757</v>
      </c>
      <c r="F101" s="17">
        <f t="shared" si="11"/>
        <v>17</v>
      </c>
      <c r="G101" s="17">
        <f t="shared" si="7"/>
        <v>4</v>
      </c>
      <c r="H101" s="17">
        <f t="shared" si="8"/>
        <v>2026</v>
      </c>
      <c r="I101" s="17">
        <f t="shared" si="9"/>
        <v>6</v>
      </c>
    </row>
    <row r="102" spans="1:9" ht="15" customHeight="1">
      <c r="A102" s="12">
        <v>46136</v>
      </c>
      <c r="B102" s="13" t="s">
        <v>11</v>
      </c>
      <c r="C102" s="18">
        <v>0.33333333333333331</v>
      </c>
      <c r="D102" s="14">
        <v>0.74959490740740742</v>
      </c>
      <c r="E102" s="16">
        <f t="shared" si="10"/>
        <v>9.9902777777777789</v>
      </c>
      <c r="F102" s="17">
        <f t="shared" si="11"/>
        <v>17</v>
      </c>
      <c r="G102" s="17">
        <f t="shared" si="7"/>
        <v>4</v>
      </c>
      <c r="H102" s="17">
        <f t="shared" si="8"/>
        <v>2026</v>
      </c>
      <c r="I102" s="17">
        <f t="shared" si="9"/>
        <v>6</v>
      </c>
    </row>
    <row r="103" spans="1:9" ht="15" customHeight="1">
      <c r="A103" s="12">
        <v>46136</v>
      </c>
      <c r="B103" s="13" t="s">
        <v>10</v>
      </c>
      <c r="C103" s="14">
        <v>0.42730324074074072</v>
      </c>
      <c r="D103" s="14">
        <v>0.74905092592592604</v>
      </c>
      <c r="E103" s="16">
        <f t="shared" si="10"/>
        <v>7.7219444444444481</v>
      </c>
      <c r="F103" s="17">
        <f t="shared" si="11"/>
        <v>17</v>
      </c>
      <c r="G103" s="17">
        <f t="shared" si="7"/>
        <v>4</v>
      </c>
      <c r="H103" s="17">
        <f t="shared" si="8"/>
        <v>2026</v>
      </c>
      <c r="I103" s="17">
        <f t="shared" si="9"/>
        <v>6</v>
      </c>
    </row>
    <row r="104" spans="1:9" ht="15" customHeight="1">
      <c r="A104" s="12">
        <v>46136</v>
      </c>
      <c r="B104" s="13" t="s">
        <v>9</v>
      </c>
      <c r="C104" s="18">
        <v>0.33819444444444446</v>
      </c>
      <c r="D104" s="14">
        <v>0.72821759259259267</v>
      </c>
      <c r="E104" s="16">
        <f t="shared" si="10"/>
        <v>9.3605555555555569</v>
      </c>
      <c r="F104" s="17">
        <f t="shared" si="11"/>
        <v>17</v>
      </c>
      <c r="G104" s="17">
        <f t="shared" si="7"/>
        <v>4</v>
      </c>
      <c r="H104" s="17">
        <f t="shared" si="8"/>
        <v>2026</v>
      </c>
      <c r="I104" s="17">
        <f t="shared" si="9"/>
        <v>6</v>
      </c>
    </row>
    <row r="105" spans="1:9" ht="15" customHeight="1">
      <c r="A105" s="12">
        <v>46137</v>
      </c>
      <c r="B105" s="13" t="s">
        <v>8</v>
      </c>
      <c r="C105" s="18">
        <v>0.33333333333333331</v>
      </c>
      <c r="D105" s="14">
        <v>0.7098726851851852</v>
      </c>
      <c r="E105" s="16">
        <f t="shared" si="10"/>
        <v>9.0369444444444458</v>
      </c>
      <c r="F105" s="17">
        <f t="shared" si="11"/>
        <v>17</v>
      </c>
      <c r="G105" s="17">
        <f t="shared" si="7"/>
        <v>4</v>
      </c>
      <c r="H105" s="17">
        <f t="shared" si="8"/>
        <v>2026</v>
      </c>
      <c r="I105" s="17">
        <f t="shared" si="9"/>
        <v>7</v>
      </c>
    </row>
    <row r="106" spans="1:9" ht="15" customHeight="1">
      <c r="A106" s="12">
        <v>46137</v>
      </c>
      <c r="B106" s="13" t="s">
        <v>11</v>
      </c>
      <c r="C106" s="18">
        <v>0.34097222222222223</v>
      </c>
      <c r="D106" s="14">
        <v>0.74846064814814817</v>
      </c>
      <c r="E106" s="16">
        <f t="shared" si="10"/>
        <v>9.7797222222222224</v>
      </c>
      <c r="F106" s="17">
        <f t="shared" si="11"/>
        <v>17</v>
      </c>
      <c r="G106" s="17">
        <f t="shared" si="7"/>
        <v>4</v>
      </c>
      <c r="H106" s="17">
        <f t="shared" si="8"/>
        <v>2026</v>
      </c>
      <c r="I106" s="17">
        <f t="shared" si="9"/>
        <v>7</v>
      </c>
    </row>
    <row r="107" spans="1:9" ht="15" customHeight="1">
      <c r="A107" s="12">
        <v>46137</v>
      </c>
      <c r="B107" s="13" t="s">
        <v>9</v>
      </c>
      <c r="C107" s="18">
        <v>0.41805555555555557</v>
      </c>
      <c r="D107" s="14">
        <v>0.44112268518518521</v>
      </c>
      <c r="E107" s="16">
        <f t="shared" si="10"/>
        <v>0.5536111111111115</v>
      </c>
      <c r="F107" s="17">
        <f t="shared" si="11"/>
        <v>17</v>
      </c>
      <c r="G107" s="17">
        <f t="shared" si="7"/>
        <v>4</v>
      </c>
      <c r="H107" s="17">
        <f t="shared" si="8"/>
        <v>2026</v>
      </c>
      <c r="I107" s="17">
        <f t="shared" si="9"/>
        <v>7</v>
      </c>
    </row>
    <row r="108" spans="1:9" ht="15" customHeight="1">
      <c r="A108" s="12">
        <v>46139</v>
      </c>
      <c r="B108" s="13" t="s">
        <v>8</v>
      </c>
      <c r="C108" s="18">
        <v>0.34652777777777777</v>
      </c>
      <c r="D108" s="14">
        <v>0.71174768518518527</v>
      </c>
      <c r="E108" s="16">
        <f t="shared" si="10"/>
        <v>8.7652777777777793</v>
      </c>
      <c r="F108" s="17">
        <f t="shared" si="11"/>
        <v>18</v>
      </c>
      <c r="G108" s="17">
        <f t="shared" si="7"/>
        <v>4</v>
      </c>
      <c r="H108" s="17">
        <f t="shared" si="8"/>
        <v>2026</v>
      </c>
      <c r="I108" s="17">
        <f t="shared" si="9"/>
        <v>2</v>
      </c>
    </row>
    <row r="109" spans="1:9" ht="15" customHeight="1">
      <c r="A109" s="12">
        <v>46139</v>
      </c>
      <c r="B109" s="13" t="s">
        <v>7</v>
      </c>
      <c r="C109" s="15">
        <v>0.33333333333333331</v>
      </c>
      <c r="D109" s="14">
        <v>0.76508101851851851</v>
      </c>
      <c r="E109" s="16">
        <f t="shared" si="10"/>
        <v>10.361944444444445</v>
      </c>
      <c r="F109" s="17">
        <f t="shared" si="11"/>
        <v>18</v>
      </c>
      <c r="G109" s="17">
        <f t="shared" si="7"/>
        <v>4</v>
      </c>
      <c r="H109" s="17">
        <f t="shared" si="8"/>
        <v>2026</v>
      </c>
      <c r="I109" s="17">
        <f t="shared" si="9"/>
        <v>2</v>
      </c>
    </row>
    <row r="110" spans="1:9" ht="15" customHeight="1">
      <c r="A110" s="12">
        <v>46139</v>
      </c>
      <c r="B110" s="13" t="s">
        <v>6</v>
      </c>
      <c r="C110" s="18">
        <v>0.40416666666666662</v>
      </c>
      <c r="D110" s="14">
        <v>0.72752314814814811</v>
      </c>
      <c r="E110" s="16">
        <f t="shared" si="10"/>
        <v>7.7605555555555554</v>
      </c>
      <c r="F110" s="17">
        <f t="shared" si="11"/>
        <v>18</v>
      </c>
      <c r="G110" s="17">
        <f t="shared" si="7"/>
        <v>4</v>
      </c>
      <c r="H110" s="17">
        <f t="shared" si="8"/>
        <v>2026</v>
      </c>
      <c r="I110" s="17">
        <f t="shared" si="9"/>
        <v>2</v>
      </c>
    </row>
    <row r="111" spans="1:9" ht="15" customHeight="1">
      <c r="A111" s="12">
        <v>46139</v>
      </c>
      <c r="B111" s="13" t="s">
        <v>11</v>
      </c>
      <c r="C111" s="18">
        <v>0.33333333333333331</v>
      </c>
      <c r="D111" s="14">
        <v>0.71225694444444443</v>
      </c>
      <c r="E111" s="16">
        <f t="shared" si="10"/>
        <v>9.0941666666666663</v>
      </c>
      <c r="F111" s="17">
        <f t="shared" si="11"/>
        <v>18</v>
      </c>
      <c r="G111" s="17">
        <f t="shared" si="7"/>
        <v>4</v>
      </c>
      <c r="H111" s="17">
        <f t="shared" si="8"/>
        <v>2026</v>
      </c>
      <c r="I111" s="17">
        <f t="shared" si="9"/>
        <v>2</v>
      </c>
    </row>
    <row r="112" spans="1:9" ht="15" customHeight="1">
      <c r="A112" s="12">
        <v>46139</v>
      </c>
      <c r="B112" s="13" t="s">
        <v>10</v>
      </c>
      <c r="C112" s="18">
        <v>0.40902777777777777</v>
      </c>
      <c r="D112" s="14">
        <v>0.72146990740740735</v>
      </c>
      <c r="E112" s="16">
        <f t="shared" si="10"/>
        <v>7.49861111111111</v>
      </c>
      <c r="F112" s="17">
        <f t="shared" si="11"/>
        <v>18</v>
      </c>
      <c r="G112" s="17">
        <f t="shared" si="7"/>
        <v>4</v>
      </c>
      <c r="H112" s="17">
        <f t="shared" si="8"/>
        <v>2026</v>
      </c>
      <c r="I112" s="17">
        <f t="shared" si="9"/>
        <v>2</v>
      </c>
    </row>
    <row r="113" spans="1:9" ht="15" customHeight="1">
      <c r="A113" s="12">
        <v>46139</v>
      </c>
      <c r="B113" s="13" t="s">
        <v>9</v>
      </c>
      <c r="C113" s="18">
        <v>0.42152777777777778</v>
      </c>
      <c r="D113" s="14">
        <v>0.74840277777777775</v>
      </c>
      <c r="E113" s="16">
        <f t="shared" si="10"/>
        <v>7.8449999999999989</v>
      </c>
      <c r="F113" s="17">
        <f t="shared" si="11"/>
        <v>18</v>
      </c>
      <c r="G113" s="17">
        <f t="shared" si="7"/>
        <v>4</v>
      </c>
      <c r="H113" s="17">
        <f t="shared" si="8"/>
        <v>2026</v>
      </c>
      <c r="I113" s="17">
        <f t="shared" si="9"/>
        <v>2</v>
      </c>
    </row>
    <row r="114" spans="1:9" ht="15" customHeight="1">
      <c r="A114" s="12">
        <v>46140</v>
      </c>
      <c r="B114" s="13" t="s">
        <v>8</v>
      </c>
      <c r="C114" s="18">
        <v>0.33333333333333331</v>
      </c>
      <c r="D114" s="14">
        <v>0.7117013888888889</v>
      </c>
      <c r="E114" s="16">
        <f t="shared" si="10"/>
        <v>9.0808333333333344</v>
      </c>
      <c r="F114" s="17">
        <f t="shared" si="11"/>
        <v>18</v>
      </c>
      <c r="G114" s="17">
        <f t="shared" si="7"/>
        <v>4</v>
      </c>
      <c r="H114" s="17">
        <f t="shared" si="8"/>
        <v>2026</v>
      </c>
      <c r="I114" s="17">
        <f t="shared" si="9"/>
        <v>3</v>
      </c>
    </row>
    <row r="115" spans="1:9" ht="15" customHeight="1">
      <c r="A115" s="12">
        <v>46140</v>
      </c>
      <c r="B115" s="13" t="s">
        <v>7</v>
      </c>
      <c r="C115" s="18">
        <v>0.37361111111111112</v>
      </c>
      <c r="D115" s="14">
        <v>0.65336805555555555</v>
      </c>
      <c r="E115" s="16">
        <f t="shared" si="10"/>
        <v>6.7141666666666664</v>
      </c>
      <c r="F115" s="17">
        <f t="shared" si="11"/>
        <v>18</v>
      </c>
      <c r="G115" s="17">
        <f t="shared" si="7"/>
        <v>4</v>
      </c>
      <c r="H115" s="17">
        <f t="shared" si="8"/>
        <v>2026</v>
      </c>
      <c r="I115" s="17">
        <f t="shared" si="9"/>
        <v>3</v>
      </c>
    </row>
    <row r="116" spans="1:9" ht="15" customHeight="1">
      <c r="A116" s="12">
        <v>46140</v>
      </c>
      <c r="B116" s="13" t="s">
        <v>6</v>
      </c>
      <c r="C116" s="18">
        <v>0.33333333333333331</v>
      </c>
      <c r="D116" s="14">
        <v>0.74607638888888894</v>
      </c>
      <c r="E116" s="16">
        <f t="shared" si="10"/>
        <v>9.9058333333333355</v>
      </c>
      <c r="F116" s="17">
        <f t="shared" si="11"/>
        <v>18</v>
      </c>
      <c r="G116" s="17">
        <f t="shared" si="7"/>
        <v>4</v>
      </c>
      <c r="H116" s="17">
        <f t="shared" si="8"/>
        <v>2026</v>
      </c>
      <c r="I116" s="17">
        <f t="shared" si="9"/>
        <v>3</v>
      </c>
    </row>
    <row r="117" spans="1:9" ht="15" customHeight="1">
      <c r="A117" s="12">
        <v>46140</v>
      </c>
      <c r="B117" s="13" t="s">
        <v>11</v>
      </c>
      <c r="C117" s="18">
        <v>0.46111111111111108</v>
      </c>
      <c r="D117" s="14">
        <v>0.7077430555555555</v>
      </c>
      <c r="E117" s="16">
        <f t="shared" si="10"/>
        <v>5.9191666666666656</v>
      </c>
      <c r="F117" s="17">
        <f t="shared" si="11"/>
        <v>18</v>
      </c>
      <c r="G117" s="17">
        <f t="shared" si="7"/>
        <v>4</v>
      </c>
      <c r="H117" s="17">
        <f t="shared" si="8"/>
        <v>2026</v>
      </c>
      <c r="I117" s="17">
        <f t="shared" si="9"/>
        <v>3</v>
      </c>
    </row>
    <row r="118" spans="1:9" ht="15" customHeight="1">
      <c r="A118" s="12">
        <v>46140</v>
      </c>
      <c r="B118" s="13" t="s">
        <v>10</v>
      </c>
      <c r="C118" s="18">
        <v>0.34930555555555554</v>
      </c>
      <c r="D118" s="14">
        <v>0.5093981481481481</v>
      </c>
      <c r="E118" s="16">
        <f t="shared" si="10"/>
        <v>3.8422222222222215</v>
      </c>
      <c r="F118" s="17">
        <f t="shared" si="11"/>
        <v>18</v>
      </c>
      <c r="G118" s="17">
        <f t="shared" si="7"/>
        <v>4</v>
      </c>
      <c r="H118" s="17">
        <f t="shared" si="8"/>
        <v>2026</v>
      </c>
      <c r="I118" s="17">
        <f t="shared" si="9"/>
        <v>3</v>
      </c>
    </row>
    <row r="119" spans="1:9" ht="15" customHeight="1">
      <c r="A119" s="12">
        <v>46140</v>
      </c>
      <c r="B119" s="13" t="s">
        <v>9</v>
      </c>
      <c r="C119" s="18">
        <v>0.33819444444444446</v>
      </c>
      <c r="D119" s="14">
        <v>0.67616898148148152</v>
      </c>
      <c r="E119" s="16">
        <f t="shared" si="10"/>
        <v>8.1113888888888894</v>
      </c>
      <c r="F119" s="17">
        <f t="shared" si="11"/>
        <v>18</v>
      </c>
      <c r="G119" s="17">
        <f t="shared" si="7"/>
        <v>4</v>
      </c>
      <c r="H119" s="17">
        <f t="shared" si="8"/>
        <v>2026</v>
      </c>
      <c r="I119" s="17">
        <f t="shared" si="9"/>
        <v>3</v>
      </c>
    </row>
    <row r="120" spans="1:9" ht="15" customHeight="1">
      <c r="A120" s="12">
        <v>46141</v>
      </c>
      <c r="B120" s="13" t="s">
        <v>8</v>
      </c>
      <c r="C120" s="18">
        <v>0.33333333333333331</v>
      </c>
      <c r="D120" s="14">
        <v>0.7214814814814815</v>
      </c>
      <c r="E120" s="16">
        <f t="shared" si="10"/>
        <v>9.3155555555555569</v>
      </c>
      <c r="F120" s="17">
        <f t="shared" si="11"/>
        <v>18</v>
      </c>
      <c r="G120" s="17">
        <f t="shared" ref="G120:G183" si="12">MONTH(A120)</f>
        <v>4</v>
      </c>
      <c r="H120" s="17">
        <f t="shared" ref="H120:H183" si="13">YEAR(A120)</f>
        <v>2026</v>
      </c>
      <c r="I120" s="17">
        <f t="shared" ref="I120:I183" si="14">WEEKDAY(A120)</f>
        <v>4</v>
      </c>
    </row>
    <row r="121" spans="1:9" ht="15" customHeight="1">
      <c r="A121" s="12">
        <v>46141</v>
      </c>
      <c r="B121" s="13" t="s">
        <v>7</v>
      </c>
      <c r="C121" s="18">
        <v>0.33888888888888885</v>
      </c>
      <c r="D121" s="14">
        <v>0.71008101851851846</v>
      </c>
      <c r="E121" s="16">
        <f t="shared" si="10"/>
        <v>8.9086111111111101</v>
      </c>
      <c r="F121" s="17">
        <f t="shared" si="11"/>
        <v>18</v>
      </c>
      <c r="G121" s="17">
        <f t="shared" si="12"/>
        <v>4</v>
      </c>
      <c r="H121" s="17">
        <f t="shared" si="13"/>
        <v>2026</v>
      </c>
      <c r="I121" s="17">
        <f t="shared" si="14"/>
        <v>4</v>
      </c>
    </row>
    <row r="122" spans="1:9" ht="15" customHeight="1">
      <c r="A122" s="12">
        <v>46141</v>
      </c>
      <c r="B122" s="13" t="s">
        <v>6</v>
      </c>
      <c r="C122" s="26">
        <v>0.33333333333333331</v>
      </c>
      <c r="D122" s="14">
        <v>0.74938657407407405</v>
      </c>
      <c r="E122" s="16">
        <f t="shared" si="10"/>
        <v>9.9852777777777781</v>
      </c>
      <c r="F122" s="17">
        <f t="shared" si="11"/>
        <v>18</v>
      </c>
      <c r="G122" s="17">
        <f t="shared" si="12"/>
        <v>4</v>
      </c>
      <c r="H122" s="17">
        <f t="shared" si="13"/>
        <v>2026</v>
      </c>
      <c r="I122" s="17">
        <f t="shared" si="14"/>
        <v>4</v>
      </c>
    </row>
    <row r="123" spans="1:9" ht="15" customHeight="1">
      <c r="A123" s="12">
        <v>46141</v>
      </c>
      <c r="B123" s="13" t="s">
        <v>11</v>
      </c>
      <c r="C123" s="18">
        <v>0.33333333333333331</v>
      </c>
      <c r="D123" s="14">
        <v>0.71395833333333336</v>
      </c>
      <c r="E123" s="16">
        <f t="shared" si="10"/>
        <v>9.1350000000000016</v>
      </c>
      <c r="F123" s="17">
        <f t="shared" si="11"/>
        <v>18</v>
      </c>
      <c r="G123" s="17">
        <f t="shared" si="12"/>
        <v>4</v>
      </c>
      <c r="H123" s="17">
        <f t="shared" si="13"/>
        <v>2026</v>
      </c>
      <c r="I123" s="17">
        <f t="shared" si="14"/>
        <v>4</v>
      </c>
    </row>
    <row r="124" spans="1:9" ht="15" customHeight="1">
      <c r="A124" s="12">
        <v>46141</v>
      </c>
      <c r="B124" s="13" t="s">
        <v>10</v>
      </c>
      <c r="C124" s="18">
        <v>0.56527777777777777</v>
      </c>
      <c r="D124" s="18">
        <v>0.72489583333333341</v>
      </c>
      <c r="E124" s="16">
        <f t="shared" si="10"/>
        <v>3.8308333333333353</v>
      </c>
      <c r="F124" s="17">
        <f t="shared" si="11"/>
        <v>18</v>
      </c>
      <c r="G124" s="17">
        <f t="shared" si="12"/>
        <v>4</v>
      </c>
      <c r="H124" s="17">
        <f t="shared" si="13"/>
        <v>2026</v>
      </c>
      <c r="I124" s="17">
        <f t="shared" si="14"/>
        <v>4</v>
      </c>
    </row>
    <row r="125" spans="1:9" ht="15" customHeight="1">
      <c r="A125" s="12">
        <v>46141</v>
      </c>
      <c r="B125" s="13" t="s">
        <v>9</v>
      </c>
      <c r="C125" s="18">
        <v>0.41388888888888892</v>
      </c>
      <c r="D125" s="14">
        <v>0.73670138888888881</v>
      </c>
      <c r="E125" s="16">
        <f t="shared" si="10"/>
        <v>7.7474999999999969</v>
      </c>
      <c r="F125" s="17">
        <f t="shared" si="11"/>
        <v>18</v>
      </c>
      <c r="G125" s="17">
        <f t="shared" si="12"/>
        <v>4</v>
      </c>
      <c r="H125" s="17">
        <f t="shared" si="13"/>
        <v>2026</v>
      </c>
      <c r="I125" s="17">
        <f t="shared" si="14"/>
        <v>4</v>
      </c>
    </row>
    <row r="126" spans="1:9" ht="15" customHeight="1">
      <c r="A126" s="12">
        <v>46142</v>
      </c>
      <c r="B126" s="13" t="s">
        <v>8</v>
      </c>
      <c r="C126" s="18">
        <v>0.33333333333333331</v>
      </c>
      <c r="D126" s="27">
        <v>0.71302083333333333</v>
      </c>
      <c r="E126" s="16">
        <f t="shared" si="10"/>
        <v>9.1125000000000007</v>
      </c>
      <c r="F126" s="17">
        <f t="shared" si="11"/>
        <v>18</v>
      </c>
      <c r="G126" s="17">
        <f t="shared" si="12"/>
        <v>4</v>
      </c>
      <c r="H126" s="17">
        <f t="shared" si="13"/>
        <v>2026</v>
      </c>
      <c r="I126" s="17">
        <f t="shared" si="14"/>
        <v>5</v>
      </c>
    </row>
    <row r="127" spans="1:9" ht="15" customHeight="1">
      <c r="A127" s="12">
        <v>46142</v>
      </c>
      <c r="B127" s="13" t="s">
        <v>7</v>
      </c>
      <c r="C127" s="18">
        <v>0.34513888888888888</v>
      </c>
      <c r="D127" s="14">
        <v>0.76361111111111113</v>
      </c>
      <c r="E127" s="16">
        <f t="shared" si="10"/>
        <v>10.043333333333333</v>
      </c>
      <c r="F127" s="17">
        <f t="shared" si="11"/>
        <v>18</v>
      </c>
      <c r="G127" s="17">
        <f t="shared" si="12"/>
        <v>4</v>
      </c>
      <c r="H127" s="17">
        <f t="shared" si="13"/>
        <v>2026</v>
      </c>
      <c r="I127" s="17">
        <f t="shared" si="14"/>
        <v>5</v>
      </c>
    </row>
    <row r="128" spans="1:9" ht="15" customHeight="1">
      <c r="A128" s="12">
        <v>46142</v>
      </c>
      <c r="B128" s="13" t="s">
        <v>6</v>
      </c>
      <c r="C128" s="18">
        <v>0.36736111111111108</v>
      </c>
      <c r="D128" s="14">
        <v>0.75650462962962972</v>
      </c>
      <c r="E128" s="16">
        <f t="shared" si="10"/>
        <v>9.3394444444444478</v>
      </c>
      <c r="F128" s="17">
        <f t="shared" si="11"/>
        <v>18</v>
      </c>
      <c r="G128" s="17">
        <f t="shared" si="12"/>
        <v>4</v>
      </c>
      <c r="H128" s="17">
        <f t="shared" si="13"/>
        <v>2026</v>
      </c>
      <c r="I128" s="17">
        <f t="shared" si="14"/>
        <v>5</v>
      </c>
    </row>
    <row r="129" spans="1:9" ht="15" customHeight="1">
      <c r="A129" s="12">
        <v>46142</v>
      </c>
      <c r="B129" s="13" t="s">
        <v>11</v>
      </c>
      <c r="C129" s="18">
        <v>0.33055555555555555</v>
      </c>
      <c r="D129" s="14">
        <v>0.67793981481481491</v>
      </c>
      <c r="E129" s="16">
        <f t="shared" si="10"/>
        <v>8.3372222222222252</v>
      </c>
      <c r="F129" s="17">
        <f t="shared" si="11"/>
        <v>18</v>
      </c>
      <c r="G129" s="17">
        <f t="shared" si="12"/>
        <v>4</v>
      </c>
      <c r="H129" s="17">
        <f t="shared" si="13"/>
        <v>2026</v>
      </c>
      <c r="I129" s="17">
        <f t="shared" si="14"/>
        <v>5</v>
      </c>
    </row>
    <row r="130" spans="1:9" ht="15" customHeight="1">
      <c r="A130" s="12">
        <v>46142</v>
      </c>
      <c r="B130" s="13" t="s">
        <v>10</v>
      </c>
      <c r="C130" s="18">
        <v>0.3833333333333333</v>
      </c>
      <c r="D130" s="14">
        <v>0.52113425925925927</v>
      </c>
      <c r="E130" s="16">
        <f t="shared" si="10"/>
        <v>3.3072222222222232</v>
      </c>
      <c r="F130" s="17">
        <f t="shared" si="11"/>
        <v>18</v>
      </c>
      <c r="G130" s="17">
        <f t="shared" si="12"/>
        <v>4</v>
      </c>
      <c r="H130" s="17">
        <f t="shared" si="13"/>
        <v>2026</v>
      </c>
      <c r="I130" s="17">
        <f t="shared" si="14"/>
        <v>5</v>
      </c>
    </row>
    <row r="131" spans="1:9" ht="15" customHeight="1">
      <c r="A131" s="12">
        <v>46142</v>
      </c>
      <c r="B131" s="13" t="s">
        <v>9</v>
      </c>
      <c r="C131" s="18">
        <v>0.42083333333333334</v>
      </c>
      <c r="D131" s="14">
        <v>0.60112268518518519</v>
      </c>
      <c r="E131" s="16">
        <f t="shared" si="10"/>
        <v>4.3269444444444449</v>
      </c>
      <c r="F131" s="17">
        <f t="shared" si="11"/>
        <v>18</v>
      </c>
      <c r="G131" s="17">
        <f t="shared" si="12"/>
        <v>4</v>
      </c>
      <c r="H131" s="17">
        <f t="shared" si="13"/>
        <v>2026</v>
      </c>
      <c r="I131" s="17">
        <f t="shared" si="14"/>
        <v>5</v>
      </c>
    </row>
    <row r="132" spans="1:9" ht="15" customHeight="1">
      <c r="A132" s="12">
        <v>46143</v>
      </c>
      <c r="B132" s="13" t="s">
        <v>8</v>
      </c>
      <c r="C132" s="26">
        <v>0.41597222222222219</v>
      </c>
      <c r="D132" s="15">
        <v>0.67085648148148147</v>
      </c>
      <c r="E132" s="16">
        <f>IF(OR(C132="", D132=""), 0, (D132-C132)*24)</f>
        <v>6.1172222222222228</v>
      </c>
      <c r="F132" s="17">
        <f t="shared" si="11"/>
        <v>18</v>
      </c>
      <c r="G132" s="17">
        <f t="shared" si="12"/>
        <v>5</v>
      </c>
      <c r="H132" s="17">
        <f t="shared" si="13"/>
        <v>2026</v>
      </c>
      <c r="I132" s="17">
        <f t="shared" si="14"/>
        <v>6</v>
      </c>
    </row>
    <row r="133" spans="1:9" ht="15" customHeight="1">
      <c r="A133" s="12">
        <v>46143</v>
      </c>
      <c r="B133" s="13" t="s">
        <v>7</v>
      </c>
      <c r="C133" s="18">
        <v>0.38194444444444442</v>
      </c>
      <c r="D133" s="14">
        <v>0.75493055555555555</v>
      </c>
      <c r="E133" s="16">
        <f t="shared" ref="E133:E196" si="15">IF(OR(C133="", D133=""), 0, (D133-C133)*24)</f>
        <v>8.951666666666668</v>
      </c>
      <c r="F133" s="17">
        <f t="shared" si="11"/>
        <v>18</v>
      </c>
      <c r="G133" s="17">
        <f t="shared" si="12"/>
        <v>5</v>
      </c>
      <c r="H133" s="17">
        <f t="shared" si="13"/>
        <v>2026</v>
      </c>
      <c r="I133" s="17">
        <f t="shared" si="14"/>
        <v>6</v>
      </c>
    </row>
    <row r="134" spans="1:9" ht="15" customHeight="1">
      <c r="A134" s="12">
        <v>46143</v>
      </c>
      <c r="B134" s="13" t="s">
        <v>6</v>
      </c>
      <c r="C134" s="18">
        <v>0.33333333333333331</v>
      </c>
      <c r="D134" s="14">
        <v>0.66370370370370368</v>
      </c>
      <c r="E134" s="16">
        <f t="shared" si="15"/>
        <v>7.9288888888888884</v>
      </c>
      <c r="F134" s="17">
        <f t="shared" si="11"/>
        <v>18</v>
      </c>
      <c r="G134" s="17">
        <f t="shared" si="12"/>
        <v>5</v>
      </c>
      <c r="H134" s="17">
        <f t="shared" si="13"/>
        <v>2026</v>
      </c>
      <c r="I134" s="17">
        <f t="shared" si="14"/>
        <v>6</v>
      </c>
    </row>
    <row r="135" spans="1:9" ht="15" customHeight="1">
      <c r="A135" s="12">
        <v>46143</v>
      </c>
      <c r="B135" s="19" t="s">
        <v>10</v>
      </c>
      <c r="C135" s="18">
        <v>0.34027777777777773</v>
      </c>
      <c r="D135" s="14">
        <v>0.3888773148148148</v>
      </c>
      <c r="E135" s="16">
        <f t="shared" si="15"/>
        <v>1.1663888888888896</v>
      </c>
      <c r="F135" s="17">
        <f t="shared" si="11"/>
        <v>18</v>
      </c>
      <c r="G135" s="17">
        <f t="shared" si="12"/>
        <v>5</v>
      </c>
      <c r="H135" s="17">
        <f t="shared" si="13"/>
        <v>2026</v>
      </c>
      <c r="I135" s="17">
        <f t="shared" si="14"/>
        <v>6</v>
      </c>
    </row>
    <row r="136" spans="1:9" ht="15" customHeight="1">
      <c r="A136" s="12">
        <v>46143</v>
      </c>
      <c r="B136" s="19" t="s">
        <v>9</v>
      </c>
      <c r="C136" s="18">
        <v>0.33680555555555558</v>
      </c>
      <c r="D136" s="14">
        <v>0.36765046296296294</v>
      </c>
      <c r="E136" s="16">
        <f t="shared" si="15"/>
        <v>0.7402777777777767</v>
      </c>
      <c r="F136" s="17">
        <f t="shared" si="11"/>
        <v>18</v>
      </c>
      <c r="G136" s="17">
        <f t="shared" si="12"/>
        <v>5</v>
      </c>
      <c r="H136" s="17">
        <f t="shared" si="13"/>
        <v>2026</v>
      </c>
      <c r="I136" s="17">
        <f t="shared" si="14"/>
        <v>6</v>
      </c>
    </row>
    <row r="137" spans="1:9" ht="15" customHeight="1">
      <c r="A137" s="12">
        <v>46144</v>
      </c>
      <c r="B137" s="13" t="s">
        <v>7</v>
      </c>
      <c r="C137" s="18">
        <v>0.3263888888888889</v>
      </c>
      <c r="D137" s="14">
        <v>0.76194444444444442</v>
      </c>
      <c r="E137" s="16">
        <f t="shared" si="15"/>
        <v>10.453333333333333</v>
      </c>
      <c r="F137" s="17">
        <f t="shared" si="11"/>
        <v>18</v>
      </c>
      <c r="G137" s="17">
        <f t="shared" si="12"/>
        <v>5</v>
      </c>
      <c r="H137" s="17">
        <f t="shared" si="13"/>
        <v>2026</v>
      </c>
      <c r="I137" s="17">
        <f t="shared" si="14"/>
        <v>7</v>
      </c>
    </row>
    <row r="138" spans="1:9" ht="15" customHeight="1">
      <c r="A138" s="12">
        <v>46144</v>
      </c>
      <c r="B138" s="13" t="s">
        <v>6</v>
      </c>
      <c r="C138" s="18">
        <v>0.34027777777777773</v>
      </c>
      <c r="D138" s="14">
        <v>0.69199074074074074</v>
      </c>
      <c r="E138" s="16">
        <f t="shared" si="15"/>
        <v>8.4411111111111126</v>
      </c>
      <c r="F138" s="17">
        <f t="shared" si="11"/>
        <v>18</v>
      </c>
      <c r="G138" s="17">
        <f t="shared" si="12"/>
        <v>5</v>
      </c>
      <c r="H138" s="17">
        <f t="shared" si="13"/>
        <v>2026</v>
      </c>
      <c r="I138" s="17">
        <f t="shared" si="14"/>
        <v>7</v>
      </c>
    </row>
    <row r="139" spans="1:9" ht="15" customHeight="1">
      <c r="A139" s="12">
        <v>46144</v>
      </c>
      <c r="B139" s="19" t="s">
        <v>10</v>
      </c>
      <c r="C139" s="18">
        <v>0.42638888888888887</v>
      </c>
      <c r="D139" s="14">
        <v>0.75962962962962965</v>
      </c>
      <c r="E139" s="16">
        <f t="shared" si="15"/>
        <v>7.9977777777777792</v>
      </c>
      <c r="F139" s="17">
        <f t="shared" si="11"/>
        <v>18</v>
      </c>
      <c r="G139" s="17">
        <f t="shared" si="12"/>
        <v>5</v>
      </c>
      <c r="H139" s="17">
        <f t="shared" si="13"/>
        <v>2026</v>
      </c>
      <c r="I139" s="17">
        <f t="shared" si="14"/>
        <v>7</v>
      </c>
    </row>
    <row r="140" spans="1:9" ht="15" customHeight="1">
      <c r="A140" s="12">
        <v>46146</v>
      </c>
      <c r="B140" s="13" t="s">
        <v>8</v>
      </c>
      <c r="C140" s="18">
        <v>0.4236111111111111</v>
      </c>
      <c r="D140" s="27">
        <v>0.74555555555555564</v>
      </c>
      <c r="E140" s="16">
        <f t="shared" si="15"/>
        <v>7.7266666666666683</v>
      </c>
      <c r="F140" s="17">
        <f t="shared" si="11"/>
        <v>19</v>
      </c>
      <c r="G140" s="17">
        <f t="shared" si="12"/>
        <v>5</v>
      </c>
      <c r="H140" s="17">
        <f t="shared" si="13"/>
        <v>2026</v>
      </c>
      <c r="I140" s="17">
        <f t="shared" si="14"/>
        <v>2</v>
      </c>
    </row>
    <row r="141" spans="1:9" ht="15" customHeight="1">
      <c r="A141" s="12">
        <v>46146</v>
      </c>
      <c r="B141" s="13" t="s">
        <v>7</v>
      </c>
      <c r="C141" s="18">
        <v>0.33124999999999999</v>
      </c>
      <c r="D141" s="14">
        <v>0.73321759259259256</v>
      </c>
      <c r="E141" s="16">
        <f t="shared" si="15"/>
        <v>9.6472222222222221</v>
      </c>
      <c r="F141" s="17">
        <f t="shared" si="11"/>
        <v>19</v>
      </c>
      <c r="G141" s="17">
        <f t="shared" si="12"/>
        <v>5</v>
      </c>
      <c r="H141" s="17">
        <f t="shared" si="13"/>
        <v>2026</v>
      </c>
      <c r="I141" s="17">
        <f t="shared" si="14"/>
        <v>2</v>
      </c>
    </row>
    <row r="142" spans="1:9" ht="15" customHeight="1">
      <c r="A142" s="12">
        <v>46146</v>
      </c>
      <c r="B142" s="13" t="s">
        <v>6</v>
      </c>
      <c r="C142" s="18">
        <v>0.33402777777777781</v>
      </c>
      <c r="D142" s="14">
        <v>0.77591435185185187</v>
      </c>
      <c r="E142" s="16">
        <f t="shared" si="15"/>
        <v>10.605277777777777</v>
      </c>
      <c r="F142" s="17">
        <f t="shared" ref="F142:F205" si="16">WEEKNUM(A142)</f>
        <v>19</v>
      </c>
      <c r="G142" s="17">
        <f t="shared" si="12"/>
        <v>5</v>
      </c>
      <c r="H142" s="17">
        <f t="shared" si="13"/>
        <v>2026</v>
      </c>
      <c r="I142" s="17">
        <f t="shared" si="14"/>
        <v>2</v>
      </c>
    </row>
    <row r="143" spans="1:9" ht="15" customHeight="1">
      <c r="A143" s="12">
        <v>46146</v>
      </c>
      <c r="B143" s="19" t="s">
        <v>11</v>
      </c>
      <c r="C143" s="18">
        <v>0.3347222222222222</v>
      </c>
      <c r="D143" s="14">
        <v>0.72086805555555555</v>
      </c>
      <c r="E143" s="16">
        <f t="shared" si="15"/>
        <v>9.2675000000000001</v>
      </c>
      <c r="F143" s="17">
        <f t="shared" si="16"/>
        <v>19</v>
      </c>
      <c r="G143" s="17">
        <f t="shared" si="12"/>
        <v>5</v>
      </c>
      <c r="H143" s="17">
        <f t="shared" si="13"/>
        <v>2026</v>
      </c>
      <c r="I143" s="17">
        <f t="shared" si="14"/>
        <v>2</v>
      </c>
    </row>
    <row r="144" spans="1:9" ht="15" customHeight="1">
      <c r="A144" s="12">
        <v>46146</v>
      </c>
      <c r="B144" s="19" t="s">
        <v>10</v>
      </c>
      <c r="C144" s="18">
        <v>0.50694444444444442</v>
      </c>
      <c r="D144" s="14">
        <v>0.69368055555555552</v>
      </c>
      <c r="E144" s="16">
        <f t="shared" si="15"/>
        <v>4.4816666666666665</v>
      </c>
      <c r="F144" s="17">
        <f t="shared" si="16"/>
        <v>19</v>
      </c>
      <c r="G144" s="17">
        <f t="shared" si="12"/>
        <v>5</v>
      </c>
      <c r="H144" s="17">
        <f t="shared" si="13"/>
        <v>2026</v>
      </c>
      <c r="I144" s="17">
        <f t="shared" si="14"/>
        <v>2</v>
      </c>
    </row>
    <row r="145" spans="1:9" ht="15" customHeight="1">
      <c r="A145" s="12">
        <v>46146</v>
      </c>
      <c r="B145" s="19" t="s">
        <v>9</v>
      </c>
      <c r="C145" s="18">
        <v>0.42222222222222222</v>
      </c>
      <c r="D145" s="14">
        <v>0.76334490740740746</v>
      </c>
      <c r="E145" s="16">
        <f t="shared" si="15"/>
        <v>8.1869444444444461</v>
      </c>
      <c r="F145" s="17">
        <f t="shared" si="16"/>
        <v>19</v>
      </c>
      <c r="G145" s="17">
        <f t="shared" si="12"/>
        <v>5</v>
      </c>
      <c r="H145" s="17">
        <f t="shared" si="13"/>
        <v>2026</v>
      </c>
      <c r="I145" s="17">
        <f t="shared" si="14"/>
        <v>2</v>
      </c>
    </row>
    <row r="146" spans="1:9" ht="15" customHeight="1">
      <c r="A146" s="12">
        <v>46147</v>
      </c>
      <c r="B146" s="13" t="s">
        <v>8</v>
      </c>
      <c r="C146" s="18">
        <v>0.33958333333333335</v>
      </c>
      <c r="D146" s="14">
        <v>0.72993055555555564</v>
      </c>
      <c r="E146" s="16">
        <f t="shared" si="15"/>
        <v>9.3683333333333358</v>
      </c>
      <c r="F146" s="17">
        <f t="shared" si="16"/>
        <v>19</v>
      </c>
      <c r="G146" s="17">
        <f t="shared" si="12"/>
        <v>5</v>
      </c>
      <c r="H146" s="17">
        <f t="shared" si="13"/>
        <v>2026</v>
      </c>
      <c r="I146" s="17">
        <f t="shared" si="14"/>
        <v>3</v>
      </c>
    </row>
    <row r="147" spans="1:9" ht="15" customHeight="1">
      <c r="A147" s="12">
        <v>46147</v>
      </c>
      <c r="B147" s="13" t="s">
        <v>7</v>
      </c>
      <c r="C147" s="18">
        <v>0.33263888888888887</v>
      </c>
      <c r="D147" s="14">
        <v>0.70103009259259252</v>
      </c>
      <c r="E147" s="16">
        <f t="shared" si="15"/>
        <v>8.8413888888888881</v>
      </c>
      <c r="F147" s="17">
        <f t="shared" si="16"/>
        <v>19</v>
      </c>
      <c r="G147" s="17">
        <f t="shared" si="12"/>
        <v>5</v>
      </c>
      <c r="H147" s="17">
        <f t="shared" si="13"/>
        <v>2026</v>
      </c>
      <c r="I147" s="17">
        <f t="shared" si="14"/>
        <v>3</v>
      </c>
    </row>
    <row r="148" spans="1:9" ht="15" customHeight="1">
      <c r="A148" s="12">
        <v>46147</v>
      </c>
      <c r="B148" s="13" t="s">
        <v>6</v>
      </c>
      <c r="C148" s="18">
        <v>0.3666666666666667</v>
      </c>
      <c r="D148" s="14">
        <v>0.76140046296296304</v>
      </c>
      <c r="E148" s="16">
        <f t="shared" si="15"/>
        <v>9.4736111111111114</v>
      </c>
      <c r="F148" s="17">
        <f t="shared" si="16"/>
        <v>19</v>
      </c>
      <c r="G148" s="17">
        <f t="shared" si="12"/>
        <v>5</v>
      </c>
      <c r="H148" s="17">
        <f t="shared" si="13"/>
        <v>2026</v>
      </c>
      <c r="I148" s="17">
        <f t="shared" si="14"/>
        <v>3</v>
      </c>
    </row>
    <row r="149" spans="1:9" ht="15" customHeight="1">
      <c r="A149" s="12">
        <v>46147</v>
      </c>
      <c r="B149" s="19" t="s">
        <v>11</v>
      </c>
      <c r="C149" s="18">
        <v>0.33749999999999997</v>
      </c>
      <c r="D149" s="14">
        <v>0.71445601851851848</v>
      </c>
      <c r="E149" s="16">
        <f t="shared" si="15"/>
        <v>9.0469444444444438</v>
      </c>
      <c r="F149" s="17">
        <f t="shared" si="16"/>
        <v>19</v>
      </c>
      <c r="G149" s="17">
        <f t="shared" si="12"/>
        <v>5</v>
      </c>
      <c r="H149" s="17">
        <f t="shared" si="13"/>
        <v>2026</v>
      </c>
      <c r="I149" s="17">
        <f t="shared" si="14"/>
        <v>3</v>
      </c>
    </row>
    <row r="150" spans="1:9" ht="15" customHeight="1">
      <c r="A150" s="12">
        <v>46147</v>
      </c>
      <c r="B150" s="19" t="s">
        <v>10</v>
      </c>
      <c r="C150" s="18">
        <v>0.33055555555555555</v>
      </c>
      <c r="D150" s="14">
        <v>0.72395833333333337</v>
      </c>
      <c r="E150" s="16">
        <f t="shared" si="15"/>
        <v>9.4416666666666682</v>
      </c>
      <c r="F150" s="17">
        <f t="shared" si="16"/>
        <v>19</v>
      </c>
      <c r="G150" s="17">
        <f t="shared" si="12"/>
        <v>5</v>
      </c>
      <c r="H150" s="17">
        <f t="shared" si="13"/>
        <v>2026</v>
      </c>
      <c r="I150" s="17">
        <f t="shared" si="14"/>
        <v>3</v>
      </c>
    </row>
    <row r="151" spans="1:9" ht="15" customHeight="1">
      <c r="A151" s="12">
        <v>46147</v>
      </c>
      <c r="B151" s="19" t="s">
        <v>9</v>
      </c>
      <c r="C151" s="18">
        <v>0.33888888888888885</v>
      </c>
      <c r="D151" s="14">
        <v>0.6468518518518519</v>
      </c>
      <c r="E151" s="16">
        <f t="shared" si="15"/>
        <v>7.3911111111111136</v>
      </c>
      <c r="F151" s="17">
        <f t="shared" si="16"/>
        <v>19</v>
      </c>
      <c r="G151" s="17">
        <f t="shared" si="12"/>
        <v>5</v>
      </c>
      <c r="H151" s="17">
        <f t="shared" si="13"/>
        <v>2026</v>
      </c>
      <c r="I151" s="17">
        <f t="shared" si="14"/>
        <v>3</v>
      </c>
    </row>
    <row r="152" spans="1:9" ht="15" customHeight="1">
      <c r="A152" s="12">
        <v>46148</v>
      </c>
      <c r="B152" s="13" t="s">
        <v>8</v>
      </c>
      <c r="C152" s="18">
        <v>0.33333333333333331</v>
      </c>
      <c r="D152" s="14">
        <v>0.73282407407407402</v>
      </c>
      <c r="E152" s="16">
        <f t="shared" si="15"/>
        <v>9.5877777777777773</v>
      </c>
      <c r="F152" s="17">
        <f t="shared" si="16"/>
        <v>19</v>
      </c>
      <c r="G152" s="17">
        <f t="shared" si="12"/>
        <v>5</v>
      </c>
      <c r="H152" s="17">
        <f t="shared" si="13"/>
        <v>2026</v>
      </c>
      <c r="I152" s="17">
        <f t="shared" si="14"/>
        <v>4</v>
      </c>
    </row>
    <row r="153" spans="1:9" ht="15" customHeight="1">
      <c r="A153" s="12">
        <v>46148</v>
      </c>
      <c r="B153" s="13" t="s">
        <v>7</v>
      </c>
      <c r="C153" s="18">
        <v>0.33819444444444446</v>
      </c>
      <c r="D153" s="14">
        <v>0.68620370370370365</v>
      </c>
      <c r="E153" s="16">
        <f t="shared" si="15"/>
        <v>8.3522222222222204</v>
      </c>
      <c r="F153" s="17">
        <f t="shared" si="16"/>
        <v>19</v>
      </c>
      <c r="G153" s="17">
        <f t="shared" si="12"/>
        <v>5</v>
      </c>
      <c r="H153" s="17">
        <f t="shared" si="13"/>
        <v>2026</v>
      </c>
      <c r="I153" s="17">
        <f t="shared" si="14"/>
        <v>4</v>
      </c>
    </row>
    <row r="154" spans="1:9" ht="15" customHeight="1">
      <c r="A154" s="12">
        <v>46148</v>
      </c>
      <c r="B154" s="13" t="s">
        <v>6</v>
      </c>
      <c r="C154" s="28">
        <v>0.34791666666666665</v>
      </c>
      <c r="D154" s="14">
        <v>0.69111111111111112</v>
      </c>
      <c r="E154" s="16">
        <f t="shared" si="15"/>
        <v>8.2366666666666681</v>
      </c>
      <c r="F154" s="17">
        <f t="shared" si="16"/>
        <v>19</v>
      </c>
      <c r="G154" s="17">
        <f t="shared" si="12"/>
        <v>5</v>
      </c>
      <c r="H154" s="17">
        <f t="shared" si="13"/>
        <v>2026</v>
      </c>
      <c r="I154" s="17">
        <f t="shared" si="14"/>
        <v>4</v>
      </c>
    </row>
    <row r="155" spans="1:9" ht="15" customHeight="1">
      <c r="A155" s="12">
        <v>46148</v>
      </c>
      <c r="B155" s="19" t="s">
        <v>11</v>
      </c>
      <c r="C155" s="28">
        <v>0.33333333333333331</v>
      </c>
      <c r="D155" s="14">
        <v>0.75252314814814814</v>
      </c>
      <c r="E155" s="16">
        <f t="shared" si="15"/>
        <v>10.060555555555556</v>
      </c>
      <c r="F155" s="17">
        <f t="shared" si="16"/>
        <v>19</v>
      </c>
      <c r="G155" s="17">
        <f t="shared" si="12"/>
        <v>5</v>
      </c>
      <c r="H155" s="17">
        <f t="shared" si="13"/>
        <v>2026</v>
      </c>
      <c r="I155" s="17">
        <f t="shared" si="14"/>
        <v>4</v>
      </c>
    </row>
    <row r="156" spans="1:9" ht="15" customHeight="1">
      <c r="A156" s="12">
        <v>46148</v>
      </c>
      <c r="B156" s="19" t="s">
        <v>10</v>
      </c>
      <c r="C156" s="18">
        <v>0.40138888888888885</v>
      </c>
      <c r="D156" s="14">
        <v>0.73452546296296306</v>
      </c>
      <c r="E156" s="16">
        <f t="shared" si="15"/>
        <v>7.9952777777777815</v>
      </c>
      <c r="F156" s="17">
        <f t="shared" si="16"/>
        <v>19</v>
      </c>
      <c r="G156" s="17">
        <f t="shared" si="12"/>
        <v>5</v>
      </c>
      <c r="H156" s="17">
        <f t="shared" si="13"/>
        <v>2026</v>
      </c>
      <c r="I156" s="17">
        <f t="shared" si="14"/>
        <v>4</v>
      </c>
    </row>
    <row r="157" spans="1:9" ht="15" customHeight="1">
      <c r="A157" s="12">
        <v>46148</v>
      </c>
      <c r="B157" s="19" t="s">
        <v>9</v>
      </c>
      <c r="C157" s="18">
        <v>0.34097222222222223</v>
      </c>
      <c r="D157" s="14">
        <v>0.67571759259259256</v>
      </c>
      <c r="E157" s="16">
        <f t="shared" si="15"/>
        <v>8.0338888888888889</v>
      </c>
      <c r="F157" s="17">
        <f t="shared" si="16"/>
        <v>19</v>
      </c>
      <c r="G157" s="17">
        <f t="shared" si="12"/>
        <v>5</v>
      </c>
      <c r="H157" s="17">
        <f t="shared" si="13"/>
        <v>2026</v>
      </c>
      <c r="I157" s="17">
        <f t="shared" si="14"/>
        <v>4</v>
      </c>
    </row>
    <row r="158" spans="1:9" ht="15" customHeight="1">
      <c r="A158" s="12">
        <v>46149</v>
      </c>
      <c r="B158" s="13" t="s">
        <v>8</v>
      </c>
      <c r="C158" s="18">
        <v>0.3354166666666667</v>
      </c>
      <c r="D158" s="14">
        <v>0.71267361111111116</v>
      </c>
      <c r="E158" s="16">
        <f t="shared" si="15"/>
        <v>9.0541666666666671</v>
      </c>
      <c r="F158" s="17">
        <f t="shared" si="16"/>
        <v>19</v>
      </c>
      <c r="G158" s="17">
        <f t="shared" si="12"/>
        <v>5</v>
      </c>
      <c r="H158" s="17">
        <f t="shared" si="13"/>
        <v>2026</v>
      </c>
      <c r="I158" s="17">
        <f t="shared" si="14"/>
        <v>5</v>
      </c>
    </row>
    <row r="159" spans="1:9" ht="15" customHeight="1">
      <c r="A159" s="12">
        <v>46149</v>
      </c>
      <c r="B159" s="13" t="s">
        <v>7</v>
      </c>
      <c r="C159" s="18">
        <v>0.32430555555555557</v>
      </c>
      <c r="D159" s="14">
        <v>0.68193287037037031</v>
      </c>
      <c r="E159" s="16">
        <f t="shared" si="15"/>
        <v>8.5830555555555534</v>
      </c>
      <c r="F159" s="17">
        <f t="shared" si="16"/>
        <v>19</v>
      </c>
      <c r="G159" s="17">
        <f t="shared" si="12"/>
        <v>5</v>
      </c>
      <c r="H159" s="17">
        <f t="shared" si="13"/>
        <v>2026</v>
      </c>
      <c r="I159" s="17">
        <f t="shared" si="14"/>
        <v>5</v>
      </c>
    </row>
    <row r="160" spans="1:9" ht="15" customHeight="1">
      <c r="A160" s="12">
        <v>46149</v>
      </c>
      <c r="B160" s="13" t="s">
        <v>6</v>
      </c>
      <c r="C160" s="18">
        <v>0.35416666666666669</v>
      </c>
      <c r="D160" s="14">
        <v>0.68223379629629621</v>
      </c>
      <c r="E160" s="16">
        <f t="shared" si="15"/>
        <v>7.8736111111111082</v>
      </c>
      <c r="F160" s="17">
        <f t="shared" si="16"/>
        <v>19</v>
      </c>
      <c r="G160" s="17">
        <f t="shared" si="12"/>
        <v>5</v>
      </c>
      <c r="H160" s="17">
        <f t="shared" si="13"/>
        <v>2026</v>
      </c>
      <c r="I160" s="17">
        <f t="shared" si="14"/>
        <v>5</v>
      </c>
    </row>
    <row r="161" spans="1:9" ht="15" customHeight="1">
      <c r="A161" s="12">
        <v>46149</v>
      </c>
      <c r="B161" s="19" t="s">
        <v>11</v>
      </c>
      <c r="C161" s="18">
        <v>0.35625000000000001</v>
      </c>
      <c r="D161" s="14">
        <v>0.74237268518518518</v>
      </c>
      <c r="E161" s="16">
        <f t="shared" si="15"/>
        <v>9.2669444444444444</v>
      </c>
      <c r="F161" s="17">
        <f t="shared" si="16"/>
        <v>19</v>
      </c>
      <c r="G161" s="17">
        <f t="shared" si="12"/>
        <v>5</v>
      </c>
      <c r="H161" s="17">
        <f t="shared" si="13"/>
        <v>2026</v>
      </c>
      <c r="I161" s="17">
        <f t="shared" si="14"/>
        <v>5</v>
      </c>
    </row>
    <row r="162" spans="1:9" ht="15" customHeight="1">
      <c r="A162" s="12">
        <v>46149</v>
      </c>
      <c r="B162" s="19" t="s">
        <v>10</v>
      </c>
      <c r="C162" s="18">
        <v>0.39305555555555555</v>
      </c>
      <c r="D162" s="14">
        <v>0.44918981481481479</v>
      </c>
      <c r="E162" s="16">
        <f t="shared" si="15"/>
        <v>1.3472222222222219</v>
      </c>
      <c r="F162" s="17">
        <f t="shared" si="16"/>
        <v>19</v>
      </c>
      <c r="G162" s="17">
        <f t="shared" si="12"/>
        <v>5</v>
      </c>
      <c r="H162" s="17">
        <f t="shared" si="13"/>
        <v>2026</v>
      </c>
      <c r="I162" s="17">
        <f t="shared" si="14"/>
        <v>5</v>
      </c>
    </row>
    <row r="163" spans="1:9" ht="15" customHeight="1">
      <c r="A163" s="12">
        <v>46149</v>
      </c>
      <c r="B163" s="19" t="s">
        <v>9</v>
      </c>
      <c r="C163" s="18">
        <v>0.42222222222222222</v>
      </c>
      <c r="D163" s="14">
        <v>0.79993055555555559</v>
      </c>
      <c r="E163" s="16">
        <f t="shared" si="15"/>
        <v>9.0650000000000013</v>
      </c>
      <c r="F163" s="17">
        <f t="shared" si="16"/>
        <v>19</v>
      </c>
      <c r="G163" s="17">
        <f t="shared" si="12"/>
        <v>5</v>
      </c>
      <c r="H163" s="17">
        <f t="shared" si="13"/>
        <v>2026</v>
      </c>
      <c r="I163" s="17">
        <f t="shared" si="14"/>
        <v>5</v>
      </c>
    </row>
    <row r="164" spans="1:9" ht="15" customHeight="1">
      <c r="A164" s="12">
        <v>46150</v>
      </c>
      <c r="B164" s="13" t="s">
        <v>8</v>
      </c>
      <c r="C164" s="18">
        <v>0.33680555555555558</v>
      </c>
      <c r="D164" s="14">
        <v>0.68819444444444444</v>
      </c>
      <c r="E164" s="16">
        <f t="shared" si="15"/>
        <v>8.4333333333333336</v>
      </c>
      <c r="F164" s="17">
        <f t="shared" si="16"/>
        <v>19</v>
      </c>
      <c r="G164" s="17">
        <f t="shared" si="12"/>
        <v>5</v>
      </c>
      <c r="H164" s="17">
        <f t="shared" si="13"/>
        <v>2026</v>
      </c>
      <c r="I164" s="17">
        <f t="shared" si="14"/>
        <v>6</v>
      </c>
    </row>
    <row r="165" spans="1:9" ht="15" customHeight="1">
      <c r="A165" s="12">
        <v>46150</v>
      </c>
      <c r="B165" s="13" t="s">
        <v>7</v>
      </c>
      <c r="C165" s="18">
        <v>0.32916666666666666</v>
      </c>
      <c r="D165" s="14">
        <v>0.72880787037037031</v>
      </c>
      <c r="E165" s="16">
        <f t="shared" si="15"/>
        <v>9.5913888888888881</v>
      </c>
      <c r="F165" s="17">
        <f t="shared" si="16"/>
        <v>19</v>
      </c>
      <c r="G165" s="17">
        <f t="shared" si="12"/>
        <v>5</v>
      </c>
      <c r="H165" s="17">
        <f t="shared" si="13"/>
        <v>2026</v>
      </c>
      <c r="I165" s="17">
        <f t="shared" si="14"/>
        <v>6</v>
      </c>
    </row>
    <row r="166" spans="1:9" ht="15" customHeight="1">
      <c r="A166" s="12">
        <v>46150</v>
      </c>
      <c r="B166" s="13" t="s">
        <v>6</v>
      </c>
      <c r="C166" s="18">
        <v>0.35347222222222219</v>
      </c>
      <c r="D166" s="14">
        <v>0.7281712962962964</v>
      </c>
      <c r="E166" s="16">
        <f t="shared" si="15"/>
        <v>8.992777777777782</v>
      </c>
      <c r="F166" s="17">
        <f t="shared" si="16"/>
        <v>19</v>
      </c>
      <c r="G166" s="17">
        <f t="shared" si="12"/>
        <v>5</v>
      </c>
      <c r="H166" s="17">
        <f t="shared" si="13"/>
        <v>2026</v>
      </c>
      <c r="I166" s="17">
        <f t="shared" si="14"/>
        <v>6</v>
      </c>
    </row>
    <row r="167" spans="1:9" ht="15" customHeight="1">
      <c r="A167" s="12">
        <v>46150</v>
      </c>
      <c r="B167" s="19" t="s">
        <v>11</v>
      </c>
      <c r="C167" s="18">
        <v>0.35000000000000003</v>
      </c>
      <c r="D167" s="14">
        <v>0.63468749999999996</v>
      </c>
      <c r="E167" s="16">
        <f t="shared" si="15"/>
        <v>6.8324999999999978</v>
      </c>
      <c r="F167" s="17">
        <f t="shared" si="16"/>
        <v>19</v>
      </c>
      <c r="G167" s="17">
        <f t="shared" si="12"/>
        <v>5</v>
      </c>
      <c r="H167" s="17">
        <f t="shared" si="13"/>
        <v>2026</v>
      </c>
      <c r="I167" s="17">
        <f t="shared" si="14"/>
        <v>6</v>
      </c>
    </row>
    <row r="168" spans="1:9" ht="15" customHeight="1">
      <c r="A168" s="12">
        <v>46150</v>
      </c>
      <c r="B168" s="19" t="s">
        <v>10</v>
      </c>
      <c r="C168" s="18">
        <v>0.38750000000000001</v>
      </c>
      <c r="D168" s="14">
        <v>0.80385416666666665</v>
      </c>
      <c r="E168" s="16">
        <f t="shared" si="15"/>
        <v>9.9924999999999997</v>
      </c>
      <c r="F168" s="17">
        <f t="shared" si="16"/>
        <v>19</v>
      </c>
      <c r="G168" s="17">
        <f t="shared" si="12"/>
        <v>5</v>
      </c>
      <c r="H168" s="17">
        <f t="shared" si="13"/>
        <v>2026</v>
      </c>
      <c r="I168" s="17">
        <f t="shared" si="14"/>
        <v>6</v>
      </c>
    </row>
    <row r="169" spans="1:9" ht="15" customHeight="1">
      <c r="A169" s="12">
        <v>46150</v>
      </c>
      <c r="B169" s="19" t="s">
        <v>9</v>
      </c>
      <c r="C169" s="18">
        <v>0.33680555555555558</v>
      </c>
      <c r="D169" s="14">
        <v>0.7440972222222223</v>
      </c>
      <c r="E169" s="16">
        <f t="shared" si="15"/>
        <v>9.7750000000000021</v>
      </c>
      <c r="F169" s="17">
        <f t="shared" si="16"/>
        <v>19</v>
      </c>
      <c r="G169" s="17">
        <f t="shared" si="12"/>
        <v>5</v>
      </c>
      <c r="H169" s="17">
        <f t="shared" si="13"/>
        <v>2026</v>
      </c>
      <c r="I169" s="17">
        <f t="shared" si="14"/>
        <v>6</v>
      </c>
    </row>
    <row r="170" spans="1:9" ht="15" customHeight="1">
      <c r="A170" s="12">
        <v>46151</v>
      </c>
      <c r="B170" s="13" t="s">
        <v>8</v>
      </c>
      <c r="C170" s="18">
        <v>0.36180555555555555</v>
      </c>
      <c r="D170" s="14">
        <v>0.68165509259259249</v>
      </c>
      <c r="E170" s="16">
        <f t="shared" si="15"/>
        <v>7.6763888888888872</v>
      </c>
      <c r="F170" s="17">
        <f t="shared" si="16"/>
        <v>19</v>
      </c>
      <c r="G170" s="17">
        <f t="shared" si="12"/>
        <v>5</v>
      </c>
      <c r="H170" s="17">
        <f t="shared" si="13"/>
        <v>2026</v>
      </c>
      <c r="I170" s="17">
        <f t="shared" si="14"/>
        <v>7</v>
      </c>
    </row>
    <row r="171" spans="1:9" ht="15" customHeight="1">
      <c r="A171" s="12">
        <v>46151</v>
      </c>
      <c r="B171" s="19" t="s">
        <v>11</v>
      </c>
      <c r="C171" s="18">
        <v>0.34097222222222223</v>
      </c>
      <c r="D171" s="14">
        <v>0.67532407407407413</v>
      </c>
      <c r="E171" s="16">
        <f t="shared" si="15"/>
        <v>8.0244444444444447</v>
      </c>
      <c r="F171" s="17">
        <f t="shared" si="16"/>
        <v>19</v>
      </c>
      <c r="G171" s="17">
        <f t="shared" si="12"/>
        <v>5</v>
      </c>
      <c r="H171" s="17">
        <f t="shared" si="13"/>
        <v>2026</v>
      </c>
      <c r="I171" s="17">
        <f t="shared" si="14"/>
        <v>7</v>
      </c>
    </row>
    <row r="172" spans="1:9" ht="15" customHeight="1">
      <c r="A172" s="12">
        <v>46153</v>
      </c>
      <c r="B172" s="13" t="s">
        <v>8</v>
      </c>
      <c r="E172" s="16">
        <f t="shared" si="15"/>
        <v>0</v>
      </c>
      <c r="F172" s="17">
        <f t="shared" si="16"/>
        <v>20</v>
      </c>
      <c r="G172" s="17">
        <f t="shared" si="12"/>
        <v>5</v>
      </c>
      <c r="H172" s="17">
        <f t="shared" si="13"/>
        <v>2026</v>
      </c>
      <c r="I172" s="17">
        <f t="shared" si="14"/>
        <v>2</v>
      </c>
    </row>
    <row r="173" spans="1:9" ht="15" customHeight="1">
      <c r="A173" s="12">
        <v>46153</v>
      </c>
      <c r="B173" s="13" t="s">
        <v>7</v>
      </c>
      <c r="E173" s="16">
        <f t="shared" si="15"/>
        <v>0</v>
      </c>
      <c r="F173" s="17">
        <f t="shared" si="16"/>
        <v>20</v>
      </c>
      <c r="G173" s="17">
        <f t="shared" si="12"/>
        <v>5</v>
      </c>
      <c r="H173" s="17">
        <f t="shared" si="13"/>
        <v>2026</v>
      </c>
      <c r="I173" s="17">
        <f t="shared" si="14"/>
        <v>2</v>
      </c>
    </row>
    <row r="174" spans="1:9" ht="15" customHeight="1">
      <c r="A174" s="12">
        <v>46153</v>
      </c>
      <c r="B174" s="13" t="s">
        <v>6</v>
      </c>
      <c r="E174" s="16">
        <f t="shared" si="15"/>
        <v>0</v>
      </c>
      <c r="F174" s="17">
        <f t="shared" si="16"/>
        <v>20</v>
      </c>
      <c r="G174" s="17">
        <f t="shared" si="12"/>
        <v>5</v>
      </c>
      <c r="H174" s="17">
        <f t="shared" si="13"/>
        <v>2026</v>
      </c>
      <c r="I174" s="17">
        <f t="shared" si="14"/>
        <v>2</v>
      </c>
    </row>
    <row r="175" spans="1:9" ht="15" customHeight="1">
      <c r="A175" s="12">
        <v>46153</v>
      </c>
      <c r="B175" s="19" t="s">
        <v>11</v>
      </c>
      <c r="E175" s="16">
        <f t="shared" si="15"/>
        <v>0</v>
      </c>
      <c r="F175" s="17">
        <f t="shared" si="16"/>
        <v>20</v>
      </c>
      <c r="G175" s="17">
        <f t="shared" si="12"/>
        <v>5</v>
      </c>
      <c r="H175" s="17">
        <f t="shared" si="13"/>
        <v>2026</v>
      </c>
      <c r="I175" s="17">
        <f t="shared" si="14"/>
        <v>2</v>
      </c>
    </row>
    <row r="176" spans="1:9" ht="15" customHeight="1">
      <c r="A176" s="12">
        <v>46153</v>
      </c>
      <c r="B176" s="19" t="s">
        <v>10</v>
      </c>
      <c r="E176" s="16">
        <f t="shared" si="15"/>
        <v>0</v>
      </c>
      <c r="F176" s="17">
        <f t="shared" si="16"/>
        <v>20</v>
      </c>
      <c r="G176" s="17">
        <f t="shared" si="12"/>
        <v>5</v>
      </c>
      <c r="H176" s="17">
        <f t="shared" si="13"/>
        <v>2026</v>
      </c>
      <c r="I176" s="17">
        <f t="shared" si="14"/>
        <v>2</v>
      </c>
    </row>
    <row r="177" spans="1:9" ht="15" customHeight="1">
      <c r="A177" s="12">
        <v>46153</v>
      </c>
      <c r="B177" s="19" t="s">
        <v>9</v>
      </c>
      <c r="E177" s="16">
        <f t="shared" si="15"/>
        <v>0</v>
      </c>
      <c r="F177" s="17">
        <f t="shared" si="16"/>
        <v>20</v>
      </c>
      <c r="G177" s="17">
        <f t="shared" si="12"/>
        <v>5</v>
      </c>
      <c r="H177" s="17">
        <f t="shared" si="13"/>
        <v>2026</v>
      </c>
      <c r="I177" s="17">
        <f t="shared" si="14"/>
        <v>2</v>
      </c>
    </row>
    <row r="178" spans="1:9" ht="15" customHeight="1">
      <c r="A178" s="12">
        <v>46154</v>
      </c>
      <c r="B178" s="13" t="s">
        <v>8</v>
      </c>
      <c r="E178" s="16">
        <f t="shared" si="15"/>
        <v>0</v>
      </c>
      <c r="F178" s="17">
        <f t="shared" si="16"/>
        <v>20</v>
      </c>
      <c r="G178" s="17">
        <f t="shared" si="12"/>
        <v>5</v>
      </c>
      <c r="H178" s="17">
        <f t="shared" si="13"/>
        <v>2026</v>
      </c>
      <c r="I178" s="17">
        <f t="shared" si="14"/>
        <v>3</v>
      </c>
    </row>
    <row r="179" spans="1:9" ht="15" customHeight="1">
      <c r="A179" s="12">
        <v>46154</v>
      </c>
      <c r="B179" s="13" t="s">
        <v>7</v>
      </c>
      <c r="E179" s="16">
        <f t="shared" si="15"/>
        <v>0</v>
      </c>
      <c r="F179" s="17">
        <f t="shared" si="16"/>
        <v>20</v>
      </c>
      <c r="G179" s="17">
        <f t="shared" si="12"/>
        <v>5</v>
      </c>
      <c r="H179" s="17">
        <f t="shared" si="13"/>
        <v>2026</v>
      </c>
      <c r="I179" s="17">
        <f t="shared" si="14"/>
        <v>3</v>
      </c>
    </row>
    <row r="180" spans="1:9" ht="15" customHeight="1">
      <c r="A180" s="12">
        <v>46154</v>
      </c>
      <c r="B180" s="13" t="s">
        <v>6</v>
      </c>
      <c r="E180" s="16">
        <f t="shared" si="15"/>
        <v>0</v>
      </c>
      <c r="F180" s="17">
        <f t="shared" si="16"/>
        <v>20</v>
      </c>
      <c r="G180" s="17">
        <f t="shared" si="12"/>
        <v>5</v>
      </c>
      <c r="H180" s="17">
        <f t="shared" si="13"/>
        <v>2026</v>
      </c>
      <c r="I180" s="17">
        <f t="shared" si="14"/>
        <v>3</v>
      </c>
    </row>
    <row r="181" spans="1:9" ht="15" customHeight="1">
      <c r="A181" s="12">
        <v>46154</v>
      </c>
      <c r="B181" s="19" t="s">
        <v>11</v>
      </c>
      <c r="E181" s="16">
        <f t="shared" si="15"/>
        <v>0</v>
      </c>
      <c r="F181" s="17">
        <f t="shared" si="16"/>
        <v>20</v>
      </c>
      <c r="G181" s="17">
        <f t="shared" si="12"/>
        <v>5</v>
      </c>
      <c r="H181" s="17">
        <f t="shared" si="13"/>
        <v>2026</v>
      </c>
      <c r="I181" s="17">
        <f t="shared" si="14"/>
        <v>3</v>
      </c>
    </row>
    <row r="182" spans="1:9" ht="15" customHeight="1">
      <c r="A182" s="12">
        <v>46154</v>
      </c>
      <c r="B182" s="19" t="s">
        <v>10</v>
      </c>
      <c r="E182" s="16">
        <f t="shared" si="15"/>
        <v>0</v>
      </c>
      <c r="F182" s="17">
        <f t="shared" si="16"/>
        <v>20</v>
      </c>
      <c r="G182" s="17">
        <f t="shared" si="12"/>
        <v>5</v>
      </c>
      <c r="H182" s="17">
        <f t="shared" si="13"/>
        <v>2026</v>
      </c>
      <c r="I182" s="17">
        <f t="shared" si="14"/>
        <v>3</v>
      </c>
    </row>
    <row r="183" spans="1:9" ht="15" customHeight="1">
      <c r="A183" s="12">
        <v>46154</v>
      </c>
      <c r="B183" s="19" t="s">
        <v>9</v>
      </c>
      <c r="E183" s="16">
        <f t="shared" si="15"/>
        <v>0</v>
      </c>
      <c r="F183" s="17">
        <f t="shared" si="16"/>
        <v>20</v>
      </c>
      <c r="G183" s="17">
        <f t="shared" si="12"/>
        <v>5</v>
      </c>
      <c r="H183" s="17">
        <f t="shared" si="13"/>
        <v>2026</v>
      </c>
      <c r="I183" s="17">
        <f t="shared" si="14"/>
        <v>3</v>
      </c>
    </row>
    <row r="184" spans="1:9" ht="15" customHeight="1">
      <c r="A184" s="12">
        <v>46155</v>
      </c>
      <c r="B184" s="13" t="s">
        <v>8</v>
      </c>
      <c r="E184" s="16">
        <f t="shared" si="15"/>
        <v>0</v>
      </c>
      <c r="F184" s="17">
        <f t="shared" si="16"/>
        <v>20</v>
      </c>
      <c r="G184" s="17">
        <f t="shared" ref="G184:G247" si="17">MONTH(A184)</f>
        <v>5</v>
      </c>
      <c r="H184" s="17">
        <f t="shared" ref="H184:H247" si="18">YEAR(A184)</f>
        <v>2026</v>
      </c>
      <c r="I184" s="17">
        <f t="shared" ref="I184:I247" si="19">WEEKDAY(A184)</f>
        <v>4</v>
      </c>
    </row>
    <row r="185" spans="1:9" ht="15" customHeight="1">
      <c r="A185" s="12">
        <v>46155</v>
      </c>
      <c r="B185" s="13" t="s">
        <v>7</v>
      </c>
      <c r="E185" s="16">
        <f t="shared" si="15"/>
        <v>0</v>
      </c>
      <c r="F185" s="17">
        <f t="shared" si="16"/>
        <v>20</v>
      </c>
      <c r="G185" s="17">
        <f t="shared" si="17"/>
        <v>5</v>
      </c>
      <c r="H185" s="17">
        <f t="shared" si="18"/>
        <v>2026</v>
      </c>
      <c r="I185" s="17">
        <f t="shared" si="19"/>
        <v>4</v>
      </c>
    </row>
    <row r="186" spans="1:9" ht="15" customHeight="1">
      <c r="A186" s="12">
        <v>46155</v>
      </c>
      <c r="B186" s="13" t="s">
        <v>6</v>
      </c>
      <c r="E186" s="16">
        <f t="shared" si="15"/>
        <v>0</v>
      </c>
      <c r="F186" s="17">
        <f t="shared" si="16"/>
        <v>20</v>
      </c>
      <c r="G186" s="17">
        <f t="shared" si="17"/>
        <v>5</v>
      </c>
      <c r="H186" s="17">
        <f t="shared" si="18"/>
        <v>2026</v>
      </c>
      <c r="I186" s="17">
        <f t="shared" si="19"/>
        <v>4</v>
      </c>
    </row>
    <row r="187" spans="1:9" ht="15" customHeight="1">
      <c r="A187" s="12">
        <v>46155</v>
      </c>
      <c r="B187" s="19" t="s">
        <v>11</v>
      </c>
      <c r="E187" s="16">
        <f t="shared" si="15"/>
        <v>0</v>
      </c>
      <c r="F187" s="17">
        <f t="shared" si="16"/>
        <v>20</v>
      </c>
      <c r="G187" s="17">
        <f t="shared" si="17"/>
        <v>5</v>
      </c>
      <c r="H187" s="17">
        <f t="shared" si="18"/>
        <v>2026</v>
      </c>
      <c r="I187" s="17">
        <f t="shared" si="19"/>
        <v>4</v>
      </c>
    </row>
    <row r="188" spans="1:9" ht="15" customHeight="1">
      <c r="A188" s="12">
        <v>46155</v>
      </c>
      <c r="B188" s="19" t="s">
        <v>10</v>
      </c>
      <c r="E188" s="16">
        <f t="shared" si="15"/>
        <v>0</v>
      </c>
      <c r="F188" s="17">
        <f t="shared" si="16"/>
        <v>20</v>
      </c>
      <c r="G188" s="17">
        <f t="shared" si="17"/>
        <v>5</v>
      </c>
      <c r="H188" s="17">
        <f t="shared" si="18"/>
        <v>2026</v>
      </c>
      <c r="I188" s="17">
        <f t="shared" si="19"/>
        <v>4</v>
      </c>
    </row>
    <row r="189" spans="1:9" ht="15" customHeight="1">
      <c r="A189" s="12">
        <v>46155</v>
      </c>
      <c r="B189" s="19" t="s">
        <v>9</v>
      </c>
      <c r="E189" s="16">
        <f t="shared" si="15"/>
        <v>0</v>
      </c>
      <c r="F189" s="17">
        <f t="shared" si="16"/>
        <v>20</v>
      </c>
      <c r="G189" s="17">
        <f t="shared" si="17"/>
        <v>5</v>
      </c>
      <c r="H189" s="17">
        <f t="shared" si="18"/>
        <v>2026</v>
      </c>
      <c r="I189" s="17">
        <f t="shared" si="19"/>
        <v>4</v>
      </c>
    </row>
    <row r="190" spans="1:9" ht="15" customHeight="1">
      <c r="A190" s="12">
        <v>46156</v>
      </c>
      <c r="B190" s="13" t="s">
        <v>8</v>
      </c>
      <c r="E190" s="16">
        <f t="shared" si="15"/>
        <v>0</v>
      </c>
      <c r="F190" s="17">
        <f t="shared" si="16"/>
        <v>20</v>
      </c>
      <c r="G190" s="17">
        <f t="shared" si="17"/>
        <v>5</v>
      </c>
      <c r="H190" s="17">
        <f t="shared" si="18"/>
        <v>2026</v>
      </c>
      <c r="I190" s="17">
        <f t="shared" si="19"/>
        <v>5</v>
      </c>
    </row>
    <row r="191" spans="1:9" ht="15" customHeight="1">
      <c r="A191" s="12">
        <v>46156</v>
      </c>
      <c r="B191" s="13" t="s">
        <v>7</v>
      </c>
      <c r="E191" s="16">
        <f t="shared" si="15"/>
        <v>0</v>
      </c>
      <c r="F191" s="17">
        <f t="shared" si="16"/>
        <v>20</v>
      </c>
      <c r="G191" s="17">
        <f t="shared" si="17"/>
        <v>5</v>
      </c>
      <c r="H191" s="17">
        <f t="shared" si="18"/>
        <v>2026</v>
      </c>
      <c r="I191" s="17">
        <f t="shared" si="19"/>
        <v>5</v>
      </c>
    </row>
    <row r="192" spans="1:9" ht="15" customHeight="1">
      <c r="A192" s="12">
        <v>46156</v>
      </c>
      <c r="B192" s="13" t="s">
        <v>6</v>
      </c>
      <c r="E192" s="16">
        <f t="shared" si="15"/>
        <v>0</v>
      </c>
      <c r="F192" s="17">
        <f t="shared" si="16"/>
        <v>20</v>
      </c>
      <c r="G192" s="17">
        <f t="shared" si="17"/>
        <v>5</v>
      </c>
      <c r="H192" s="17">
        <f t="shared" si="18"/>
        <v>2026</v>
      </c>
      <c r="I192" s="17">
        <f t="shared" si="19"/>
        <v>5</v>
      </c>
    </row>
    <row r="193" spans="1:9" ht="15" customHeight="1">
      <c r="A193" s="12">
        <v>46156</v>
      </c>
      <c r="B193" s="19" t="s">
        <v>11</v>
      </c>
      <c r="E193" s="16">
        <f t="shared" si="15"/>
        <v>0</v>
      </c>
      <c r="F193" s="17">
        <f t="shared" si="16"/>
        <v>20</v>
      </c>
      <c r="G193" s="17">
        <f t="shared" si="17"/>
        <v>5</v>
      </c>
      <c r="H193" s="17">
        <f t="shared" si="18"/>
        <v>2026</v>
      </c>
      <c r="I193" s="17">
        <f t="shared" si="19"/>
        <v>5</v>
      </c>
    </row>
    <row r="194" spans="1:9" ht="15" customHeight="1">
      <c r="A194" s="12">
        <v>46156</v>
      </c>
      <c r="B194" s="19" t="s">
        <v>10</v>
      </c>
      <c r="E194" s="16">
        <f t="shared" si="15"/>
        <v>0</v>
      </c>
      <c r="F194" s="17">
        <f t="shared" si="16"/>
        <v>20</v>
      </c>
      <c r="G194" s="17">
        <f t="shared" si="17"/>
        <v>5</v>
      </c>
      <c r="H194" s="17">
        <f t="shared" si="18"/>
        <v>2026</v>
      </c>
      <c r="I194" s="17">
        <f t="shared" si="19"/>
        <v>5</v>
      </c>
    </row>
    <row r="195" spans="1:9" ht="15" customHeight="1">
      <c r="A195" s="12">
        <v>46156</v>
      </c>
      <c r="B195" s="19" t="s">
        <v>9</v>
      </c>
      <c r="E195" s="16">
        <f t="shared" si="15"/>
        <v>0</v>
      </c>
      <c r="F195" s="17">
        <f t="shared" si="16"/>
        <v>20</v>
      </c>
      <c r="G195" s="17">
        <f t="shared" si="17"/>
        <v>5</v>
      </c>
      <c r="H195" s="17">
        <f t="shared" si="18"/>
        <v>2026</v>
      </c>
      <c r="I195" s="17">
        <f t="shared" si="19"/>
        <v>5</v>
      </c>
    </row>
    <row r="196" spans="1:9" ht="15" customHeight="1">
      <c r="A196" s="12">
        <v>46157</v>
      </c>
      <c r="B196" s="13" t="s">
        <v>8</v>
      </c>
      <c r="E196" s="16">
        <f t="shared" si="15"/>
        <v>0</v>
      </c>
      <c r="F196" s="17">
        <f t="shared" si="16"/>
        <v>20</v>
      </c>
      <c r="G196" s="17">
        <f t="shared" si="17"/>
        <v>5</v>
      </c>
      <c r="H196" s="17">
        <f t="shared" si="18"/>
        <v>2026</v>
      </c>
      <c r="I196" s="17">
        <f t="shared" si="19"/>
        <v>6</v>
      </c>
    </row>
    <row r="197" spans="1:9" ht="15" customHeight="1">
      <c r="A197" s="12">
        <v>46157</v>
      </c>
      <c r="B197" s="13" t="s">
        <v>7</v>
      </c>
      <c r="E197" s="16">
        <f t="shared" ref="E197:E225" si="20">IF(OR(C197="", D197=""), 0, (D197-C197)*24)</f>
        <v>0</v>
      </c>
      <c r="F197" s="17">
        <f t="shared" si="16"/>
        <v>20</v>
      </c>
      <c r="G197" s="17">
        <f t="shared" si="17"/>
        <v>5</v>
      </c>
      <c r="H197" s="17">
        <f t="shared" si="18"/>
        <v>2026</v>
      </c>
      <c r="I197" s="17">
        <f t="shared" si="19"/>
        <v>6</v>
      </c>
    </row>
    <row r="198" spans="1:9" ht="15" customHeight="1">
      <c r="A198" s="12">
        <v>46157</v>
      </c>
      <c r="B198" s="13" t="s">
        <v>6</v>
      </c>
      <c r="E198" s="16">
        <f t="shared" si="20"/>
        <v>0</v>
      </c>
      <c r="F198" s="17">
        <f t="shared" si="16"/>
        <v>20</v>
      </c>
      <c r="G198" s="17">
        <f t="shared" si="17"/>
        <v>5</v>
      </c>
      <c r="H198" s="17">
        <f t="shared" si="18"/>
        <v>2026</v>
      </c>
      <c r="I198" s="17">
        <f t="shared" si="19"/>
        <v>6</v>
      </c>
    </row>
    <row r="199" spans="1:9" ht="15" customHeight="1">
      <c r="A199" s="12">
        <v>46157</v>
      </c>
      <c r="B199" s="19" t="s">
        <v>11</v>
      </c>
      <c r="E199" s="16">
        <f t="shared" si="20"/>
        <v>0</v>
      </c>
      <c r="F199" s="17">
        <f t="shared" si="16"/>
        <v>20</v>
      </c>
      <c r="G199" s="17">
        <f t="shared" si="17"/>
        <v>5</v>
      </c>
      <c r="H199" s="17">
        <f t="shared" si="18"/>
        <v>2026</v>
      </c>
      <c r="I199" s="17">
        <f t="shared" si="19"/>
        <v>6</v>
      </c>
    </row>
    <row r="200" spans="1:9" ht="15" customHeight="1">
      <c r="A200" s="12">
        <v>46157</v>
      </c>
      <c r="B200" s="19" t="s">
        <v>10</v>
      </c>
      <c r="E200" s="16">
        <f t="shared" si="20"/>
        <v>0</v>
      </c>
      <c r="F200" s="17">
        <f t="shared" si="16"/>
        <v>20</v>
      </c>
      <c r="G200" s="17">
        <f t="shared" si="17"/>
        <v>5</v>
      </c>
      <c r="H200" s="17">
        <f t="shared" si="18"/>
        <v>2026</v>
      </c>
      <c r="I200" s="17">
        <f t="shared" si="19"/>
        <v>6</v>
      </c>
    </row>
    <row r="201" spans="1:9" ht="15" customHeight="1">
      <c r="A201" s="12">
        <v>46157</v>
      </c>
      <c r="B201" s="19" t="s">
        <v>9</v>
      </c>
      <c r="E201" s="16">
        <f t="shared" si="20"/>
        <v>0</v>
      </c>
      <c r="F201" s="17">
        <f t="shared" si="16"/>
        <v>20</v>
      </c>
      <c r="G201" s="17">
        <f t="shared" si="17"/>
        <v>5</v>
      </c>
      <c r="H201" s="17">
        <f t="shared" si="18"/>
        <v>2026</v>
      </c>
      <c r="I201" s="17">
        <f t="shared" si="19"/>
        <v>6</v>
      </c>
    </row>
    <row r="202" spans="1:9" ht="15" customHeight="1">
      <c r="A202" s="12">
        <v>46158</v>
      </c>
      <c r="B202" s="13" t="s">
        <v>8</v>
      </c>
      <c r="E202" s="16">
        <f t="shared" si="20"/>
        <v>0</v>
      </c>
      <c r="F202" s="17">
        <f t="shared" si="16"/>
        <v>20</v>
      </c>
      <c r="G202" s="17">
        <f t="shared" si="17"/>
        <v>5</v>
      </c>
      <c r="H202" s="17">
        <f t="shared" si="18"/>
        <v>2026</v>
      </c>
      <c r="I202" s="17">
        <f t="shared" si="19"/>
        <v>7</v>
      </c>
    </row>
    <row r="203" spans="1:9" ht="15" customHeight="1">
      <c r="A203" s="12">
        <v>46158</v>
      </c>
      <c r="B203" s="13" t="s">
        <v>7</v>
      </c>
      <c r="E203" s="16">
        <f t="shared" si="20"/>
        <v>0</v>
      </c>
      <c r="F203" s="17">
        <f t="shared" si="16"/>
        <v>20</v>
      </c>
      <c r="G203" s="17">
        <f t="shared" si="17"/>
        <v>5</v>
      </c>
      <c r="H203" s="17">
        <f t="shared" si="18"/>
        <v>2026</v>
      </c>
      <c r="I203" s="17">
        <f t="shared" si="19"/>
        <v>7</v>
      </c>
    </row>
    <row r="204" spans="1:9" ht="15" customHeight="1">
      <c r="A204" s="12">
        <v>46158</v>
      </c>
      <c r="B204" s="13" t="s">
        <v>6</v>
      </c>
      <c r="E204" s="16">
        <f t="shared" si="20"/>
        <v>0</v>
      </c>
      <c r="F204" s="17">
        <f t="shared" si="16"/>
        <v>20</v>
      </c>
      <c r="G204" s="17">
        <f t="shared" si="17"/>
        <v>5</v>
      </c>
      <c r="H204" s="17">
        <f t="shared" si="18"/>
        <v>2026</v>
      </c>
      <c r="I204" s="17">
        <f t="shared" si="19"/>
        <v>7</v>
      </c>
    </row>
    <row r="205" spans="1:9" ht="15" customHeight="1">
      <c r="A205" s="12">
        <v>46158</v>
      </c>
      <c r="B205" s="19" t="s">
        <v>11</v>
      </c>
      <c r="E205" s="16">
        <f t="shared" si="20"/>
        <v>0</v>
      </c>
      <c r="F205" s="17">
        <f t="shared" si="16"/>
        <v>20</v>
      </c>
      <c r="G205" s="17">
        <f t="shared" si="17"/>
        <v>5</v>
      </c>
      <c r="H205" s="17">
        <f t="shared" si="18"/>
        <v>2026</v>
      </c>
      <c r="I205" s="17">
        <f t="shared" si="19"/>
        <v>7</v>
      </c>
    </row>
    <row r="206" spans="1:9" ht="15" customHeight="1">
      <c r="A206" s="12">
        <v>46158</v>
      </c>
      <c r="B206" s="19" t="s">
        <v>10</v>
      </c>
      <c r="E206" s="16">
        <f t="shared" si="20"/>
        <v>0</v>
      </c>
      <c r="F206" s="17">
        <f t="shared" ref="F206:F256" si="21">WEEKNUM(A206)</f>
        <v>20</v>
      </c>
      <c r="G206" s="17">
        <f t="shared" si="17"/>
        <v>5</v>
      </c>
      <c r="H206" s="17">
        <f t="shared" si="18"/>
        <v>2026</v>
      </c>
      <c r="I206" s="17">
        <f t="shared" si="19"/>
        <v>7</v>
      </c>
    </row>
    <row r="207" spans="1:9" ht="15" customHeight="1">
      <c r="A207" s="12">
        <v>46158</v>
      </c>
      <c r="B207" s="19" t="s">
        <v>9</v>
      </c>
      <c r="E207" s="16">
        <f t="shared" si="20"/>
        <v>0</v>
      </c>
      <c r="F207" s="17">
        <f t="shared" si="21"/>
        <v>20</v>
      </c>
      <c r="G207" s="17">
        <f t="shared" si="17"/>
        <v>5</v>
      </c>
      <c r="H207" s="17">
        <f t="shared" si="18"/>
        <v>2026</v>
      </c>
      <c r="I207" s="17">
        <f t="shared" si="19"/>
        <v>7</v>
      </c>
    </row>
    <row r="208" spans="1:9" ht="15" customHeight="1">
      <c r="A208" s="12">
        <v>46159</v>
      </c>
      <c r="B208" s="13" t="s">
        <v>8</v>
      </c>
      <c r="E208" s="16">
        <f t="shared" si="20"/>
        <v>0</v>
      </c>
      <c r="F208" s="17">
        <f t="shared" si="21"/>
        <v>21</v>
      </c>
      <c r="G208" s="17">
        <f t="shared" si="17"/>
        <v>5</v>
      </c>
      <c r="H208" s="17">
        <f t="shared" si="18"/>
        <v>2026</v>
      </c>
      <c r="I208" s="17">
        <f t="shared" si="19"/>
        <v>1</v>
      </c>
    </row>
    <row r="209" spans="1:9" ht="15" customHeight="1">
      <c r="A209" s="12">
        <v>46159</v>
      </c>
      <c r="B209" s="13" t="s">
        <v>7</v>
      </c>
      <c r="E209" s="16">
        <f t="shared" si="20"/>
        <v>0</v>
      </c>
      <c r="F209" s="17">
        <f t="shared" si="21"/>
        <v>21</v>
      </c>
      <c r="G209" s="17">
        <f t="shared" si="17"/>
        <v>5</v>
      </c>
      <c r="H209" s="17">
        <f t="shared" si="18"/>
        <v>2026</v>
      </c>
      <c r="I209" s="17">
        <f t="shared" si="19"/>
        <v>1</v>
      </c>
    </row>
    <row r="210" spans="1:9" ht="15" customHeight="1">
      <c r="A210" s="12">
        <v>46159</v>
      </c>
      <c r="B210" s="13" t="s">
        <v>6</v>
      </c>
      <c r="E210" s="16">
        <f t="shared" si="20"/>
        <v>0</v>
      </c>
      <c r="F210" s="17">
        <f t="shared" si="21"/>
        <v>21</v>
      </c>
      <c r="G210" s="17">
        <f t="shared" si="17"/>
        <v>5</v>
      </c>
      <c r="H210" s="17">
        <f t="shared" si="18"/>
        <v>2026</v>
      </c>
      <c r="I210" s="17">
        <f t="shared" si="19"/>
        <v>1</v>
      </c>
    </row>
    <row r="211" spans="1:9" ht="15" customHeight="1">
      <c r="A211" s="12">
        <v>46159</v>
      </c>
      <c r="B211" s="19" t="s">
        <v>11</v>
      </c>
      <c r="E211" s="16">
        <f t="shared" si="20"/>
        <v>0</v>
      </c>
      <c r="F211" s="17">
        <f t="shared" si="21"/>
        <v>21</v>
      </c>
      <c r="G211" s="17">
        <f t="shared" si="17"/>
        <v>5</v>
      </c>
      <c r="H211" s="17">
        <f t="shared" si="18"/>
        <v>2026</v>
      </c>
      <c r="I211" s="17">
        <f t="shared" si="19"/>
        <v>1</v>
      </c>
    </row>
    <row r="212" spans="1:9" ht="15" customHeight="1">
      <c r="A212" s="12">
        <v>46159</v>
      </c>
      <c r="B212" s="19" t="s">
        <v>10</v>
      </c>
      <c r="E212" s="16">
        <f t="shared" si="20"/>
        <v>0</v>
      </c>
      <c r="F212" s="17">
        <f t="shared" si="21"/>
        <v>21</v>
      </c>
      <c r="G212" s="17">
        <f t="shared" si="17"/>
        <v>5</v>
      </c>
      <c r="H212" s="17">
        <f t="shared" si="18"/>
        <v>2026</v>
      </c>
      <c r="I212" s="17">
        <f t="shared" si="19"/>
        <v>1</v>
      </c>
    </row>
    <row r="213" spans="1:9" ht="15" customHeight="1">
      <c r="A213" s="12">
        <v>46159</v>
      </c>
      <c r="B213" s="19" t="s">
        <v>9</v>
      </c>
      <c r="E213" s="16">
        <f t="shared" si="20"/>
        <v>0</v>
      </c>
      <c r="F213" s="17">
        <f t="shared" si="21"/>
        <v>21</v>
      </c>
      <c r="G213" s="17">
        <f t="shared" si="17"/>
        <v>5</v>
      </c>
      <c r="H213" s="17">
        <f t="shared" si="18"/>
        <v>2026</v>
      </c>
      <c r="I213" s="17">
        <f t="shared" si="19"/>
        <v>1</v>
      </c>
    </row>
    <row r="214" spans="1:9" ht="15" customHeight="1">
      <c r="A214" s="12">
        <v>46160</v>
      </c>
      <c r="B214" s="13" t="s">
        <v>8</v>
      </c>
      <c r="E214" s="16">
        <f t="shared" si="20"/>
        <v>0</v>
      </c>
      <c r="F214" s="17">
        <f t="shared" si="21"/>
        <v>21</v>
      </c>
      <c r="G214" s="17">
        <f t="shared" si="17"/>
        <v>5</v>
      </c>
      <c r="H214" s="17">
        <f t="shared" si="18"/>
        <v>2026</v>
      </c>
      <c r="I214" s="17">
        <f t="shared" si="19"/>
        <v>2</v>
      </c>
    </row>
    <row r="215" spans="1:9" ht="15" customHeight="1">
      <c r="A215" s="12">
        <v>46160</v>
      </c>
      <c r="B215" s="13" t="s">
        <v>7</v>
      </c>
      <c r="E215" s="16">
        <f t="shared" si="20"/>
        <v>0</v>
      </c>
      <c r="F215" s="17">
        <f t="shared" si="21"/>
        <v>21</v>
      </c>
      <c r="G215" s="17">
        <f t="shared" si="17"/>
        <v>5</v>
      </c>
      <c r="H215" s="17">
        <f t="shared" si="18"/>
        <v>2026</v>
      </c>
      <c r="I215" s="17">
        <f t="shared" si="19"/>
        <v>2</v>
      </c>
    </row>
    <row r="216" spans="1:9" ht="15" customHeight="1">
      <c r="A216" s="12">
        <v>46160</v>
      </c>
      <c r="B216" s="13" t="s">
        <v>6</v>
      </c>
      <c r="E216" s="16">
        <f t="shared" si="20"/>
        <v>0</v>
      </c>
      <c r="F216" s="17">
        <f t="shared" si="21"/>
        <v>21</v>
      </c>
      <c r="G216" s="17">
        <f t="shared" si="17"/>
        <v>5</v>
      </c>
      <c r="H216" s="17">
        <f t="shared" si="18"/>
        <v>2026</v>
      </c>
      <c r="I216" s="17">
        <f t="shared" si="19"/>
        <v>2</v>
      </c>
    </row>
    <row r="217" spans="1:9" ht="15" customHeight="1">
      <c r="A217" s="12">
        <v>46160</v>
      </c>
      <c r="B217" s="19" t="s">
        <v>11</v>
      </c>
      <c r="E217" s="16">
        <f t="shared" si="20"/>
        <v>0</v>
      </c>
      <c r="F217" s="17">
        <f t="shared" si="21"/>
        <v>21</v>
      </c>
      <c r="G217" s="17">
        <f t="shared" si="17"/>
        <v>5</v>
      </c>
      <c r="H217" s="17">
        <f t="shared" si="18"/>
        <v>2026</v>
      </c>
      <c r="I217" s="17">
        <f t="shared" si="19"/>
        <v>2</v>
      </c>
    </row>
    <row r="218" spans="1:9" ht="15" customHeight="1">
      <c r="A218" s="12">
        <v>46160</v>
      </c>
      <c r="B218" s="19" t="s">
        <v>10</v>
      </c>
      <c r="E218" s="16">
        <f t="shared" si="20"/>
        <v>0</v>
      </c>
      <c r="F218" s="17">
        <f t="shared" si="21"/>
        <v>21</v>
      </c>
      <c r="G218" s="17">
        <f t="shared" si="17"/>
        <v>5</v>
      </c>
      <c r="H218" s="17">
        <f t="shared" si="18"/>
        <v>2026</v>
      </c>
      <c r="I218" s="17">
        <f t="shared" si="19"/>
        <v>2</v>
      </c>
    </row>
    <row r="219" spans="1:9" ht="15" customHeight="1">
      <c r="A219" s="12">
        <v>46160</v>
      </c>
      <c r="B219" s="19" t="s">
        <v>9</v>
      </c>
      <c r="E219" s="16">
        <f t="shared" si="20"/>
        <v>0</v>
      </c>
      <c r="F219" s="17">
        <f t="shared" si="21"/>
        <v>21</v>
      </c>
      <c r="G219" s="17">
        <f t="shared" si="17"/>
        <v>5</v>
      </c>
      <c r="H219" s="17">
        <f t="shared" si="18"/>
        <v>2026</v>
      </c>
      <c r="I219" s="17">
        <f t="shared" si="19"/>
        <v>2</v>
      </c>
    </row>
    <row r="220" spans="1:9" ht="15" customHeight="1">
      <c r="A220" s="12">
        <v>46161</v>
      </c>
      <c r="B220" s="13" t="s">
        <v>8</v>
      </c>
      <c r="E220" s="16">
        <f t="shared" si="20"/>
        <v>0</v>
      </c>
      <c r="F220" s="17">
        <f t="shared" si="21"/>
        <v>21</v>
      </c>
      <c r="G220" s="17">
        <f t="shared" si="17"/>
        <v>5</v>
      </c>
      <c r="H220" s="17">
        <f t="shared" si="18"/>
        <v>2026</v>
      </c>
      <c r="I220" s="17">
        <f t="shared" si="19"/>
        <v>3</v>
      </c>
    </row>
    <row r="221" spans="1:9" ht="15" customHeight="1">
      <c r="A221" s="12">
        <v>46161</v>
      </c>
      <c r="B221" s="13" t="s">
        <v>7</v>
      </c>
      <c r="E221" s="16">
        <f t="shared" si="20"/>
        <v>0</v>
      </c>
      <c r="F221" s="17">
        <f t="shared" si="21"/>
        <v>21</v>
      </c>
      <c r="G221" s="17">
        <f t="shared" si="17"/>
        <v>5</v>
      </c>
      <c r="H221" s="17">
        <f t="shared" si="18"/>
        <v>2026</v>
      </c>
      <c r="I221" s="17">
        <f t="shared" si="19"/>
        <v>3</v>
      </c>
    </row>
    <row r="222" spans="1:9" ht="15" customHeight="1">
      <c r="A222" s="12">
        <v>46161</v>
      </c>
      <c r="B222" s="13" t="s">
        <v>6</v>
      </c>
      <c r="E222" s="16">
        <f t="shared" si="20"/>
        <v>0</v>
      </c>
      <c r="F222" s="17">
        <f t="shared" si="21"/>
        <v>21</v>
      </c>
      <c r="G222" s="17">
        <f t="shared" si="17"/>
        <v>5</v>
      </c>
      <c r="H222" s="17">
        <f t="shared" si="18"/>
        <v>2026</v>
      </c>
      <c r="I222" s="17">
        <f t="shared" si="19"/>
        <v>3</v>
      </c>
    </row>
    <row r="223" spans="1:9" ht="15" customHeight="1">
      <c r="A223" s="12">
        <v>46161</v>
      </c>
      <c r="B223" s="19" t="s">
        <v>11</v>
      </c>
      <c r="E223" s="16">
        <f t="shared" si="20"/>
        <v>0</v>
      </c>
      <c r="F223" s="17">
        <f t="shared" si="21"/>
        <v>21</v>
      </c>
      <c r="G223" s="17">
        <f t="shared" si="17"/>
        <v>5</v>
      </c>
      <c r="H223" s="17">
        <f t="shared" si="18"/>
        <v>2026</v>
      </c>
      <c r="I223" s="17">
        <f t="shared" si="19"/>
        <v>3</v>
      </c>
    </row>
    <row r="224" spans="1:9" ht="15" customHeight="1">
      <c r="A224" s="12">
        <v>46161</v>
      </c>
      <c r="B224" s="19" t="s">
        <v>10</v>
      </c>
      <c r="E224" s="16">
        <f t="shared" si="20"/>
        <v>0</v>
      </c>
      <c r="F224" s="17">
        <f t="shared" si="21"/>
        <v>21</v>
      </c>
      <c r="G224" s="17">
        <f t="shared" si="17"/>
        <v>5</v>
      </c>
      <c r="H224" s="17">
        <f t="shared" si="18"/>
        <v>2026</v>
      </c>
      <c r="I224" s="17">
        <f t="shared" si="19"/>
        <v>3</v>
      </c>
    </row>
    <row r="225" spans="1:9" ht="15" customHeight="1">
      <c r="A225" s="12">
        <v>46161</v>
      </c>
      <c r="B225" s="19" t="s">
        <v>9</v>
      </c>
      <c r="E225" s="16">
        <f t="shared" si="20"/>
        <v>0</v>
      </c>
      <c r="F225" s="17">
        <f t="shared" si="21"/>
        <v>21</v>
      </c>
      <c r="G225" s="17">
        <f t="shared" si="17"/>
        <v>5</v>
      </c>
      <c r="H225" s="17">
        <f t="shared" si="18"/>
        <v>2026</v>
      </c>
      <c r="I225" s="17">
        <f t="shared" si="19"/>
        <v>3</v>
      </c>
    </row>
    <row r="226" spans="1:9" ht="15" customHeight="1">
      <c r="E226" s="16">
        <f t="shared" ref="E206:E269" si="22">IF(OR(C226="", D226=""), 0, (D226-C226)*24)</f>
        <v>0</v>
      </c>
      <c r="F226" s="17">
        <f t="shared" si="21"/>
        <v>0</v>
      </c>
      <c r="G226" s="17">
        <f t="shared" si="17"/>
        <v>1</v>
      </c>
      <c r="H226" s="17">
        <f t="shared" si="18"/>
        <v>1900</v>
      </c>
      <c r="I226" s="17">
        <f t="shared" si="19"/>
        <v>7</v>
      </c>
    </row>
    <row r="227" spans="1:9" ht="15" customHeight="1">
      <c r="E227" s="16">
        <f t="shared" si="22"/>
        <v>0</v>
      </c>
      <c r="F227" s="17">
        <f t="shared" si="21"/>
        <v>0</v>
      </c>
      <c r="G227" s="17">
        <f t="shared" si="17"/>
        <v>1</v>
      </c>
      <c r="H227" s="17">
        <f t="shared" si="18"/>
        <v>1900</v>
      </c>
      <c r="I227" s="17">
        <f t="shared" si="19"/>
        <v>7</v>
      </c>
    </row>
    <row r="228" spans="1:9" ht="15" customHeight="1">
      <c r="E228" s="16">
        <f t="shared" si="22"/>
        <v>0</v>
      </c>
      <c r="F228" s="17">
        <f t="shared" si="21"/>
        <v>0</v>
      </c>
      <c r="G228" s="17">
        <f t="shared" si="17"/>
        <v>1</v>
      </c>
      <c r="H228" s="17">
        <f t="shared" si="18"/>
        <v>1900</v>
      </c>
      <c r="I228" s="17">
        <f t="shared" si="19"/>
        <v>7</v>
      </c>
    </row>
    <row r="229" spans="1:9" ht="15" customHeight="1">
      <c r="E229" s="16">
        <f t="shared" si="22"/>
        <v>0</v>
      </c>
      <c r="F229" s="17">
        <f t="shared" si="21"/>
        <v>0</v>
      </c>
      <c r="G229" s="17">
        <f t="shared" si="17"/>
        <v>1</v>
      </c>
      <c r="H229" s="17">
        <f t="shared" si="18"/>
        <v>1900</v>
      </c>
      <c r="I229" s="17">
        <f t="shared" si="19"/>
        <v>7</v>
      </c>
    </row>
    <row r="230" spans="1:9" ht="15" customHeight="1">
      <c r="E230" s="16">
        <f t="shared" si="22"/>
        <v>0</v>
      </c>
      <c r="F230" s="17">
        <f t="shared" si="21"/>
        <v>0</v>
      </c>
      <c r="G230" s="17">
        <f t="shared" si="17"/>
        <v>1</v>
      </c>
      <c r="H230" s="17">
        <f t="shared" si="18"/>
        <v>1900</v>
      </c>
      <c r="I230" s="17">
        <f t="shared" si="19"/>
        <v>7</v>
      </c>
    </row>
    <row r="231" spans="1:9" ht="15" customHeight="1">
      <c r="E231" s="16">
        <f t="shared" si="22"/>
        <v>0</v>
      </c>
      <c r="F231" s="17">
        <f t="shared" si="21"/>
        <v>0</v>
      </c>
      <c r="G231" s="17">
        <f t="shared" si="17"/>
        <v>1</v>
      </c>
      <c r="H231" s="17">
        <f t="shared" si="18"/>
        <v>1900</v>
      </c>
      <c r="I231" s="17">
        <f t="shared" si="19"/>
        <v>7</v>
      </c>
    </row>
    <row r="232" spans="1:9" ht="15" customHeight="1">
      <c r="E232" s="16">
        <f t="shared" si="22"/>
        <v>0</v>
      </c>
      <c r="F232" s="17">
        <f t="shared" si="21"/>
        <v>0</v>
      </c>
      <c r="G232" s="17">
        <f t="shared" si="17"/>
        <v>1</v>
      </c>
      <c r="H232" s="17">
        <f t="shared" si="18"/>
        <v>1900</v>
      </c>
      <c r="I232" s="17">
        <f t="shared" si="19"/>
        <v>7</v>
      </c>
    </row>
    <row r="233" spans="1:9" ht="15" customHeight="1">
      <c r="E233" s="16">
        <f t="shared" si="22"/>
        <v>0</v>
      </c>
      <c r="F233" s="17">
        <f t="shared" si="21"/>
        <v>0</v>
      </c>
      <c r="G233" s="17">
        <f t="shared" si="17"/>
        <v>1</v>
      </c>
      <c r="H233" s="17">
        <f t="shared" si="18"/>
        <v>1900</v>
      </c>
      <c r="I233" s="17">
        <f t="shared" si="19"/>
        <v>7</v>
      </c>
    </row>
    <row r="234" spans="1:9" ht="15" customHeight="1">
      <c r="E234" s="16">
        <f t="shared" si="22"/>
        <v>0</v>
      </c>
      <c r="F234" s="17">
        <f t="shared" si="21"/>
        <v>0</v>
      </c>
      <c r="G234" s="17">
        <f t="shared" si="17"/>
        <v>1</v>
      </c>
      <c r="H234" s="17">
        <f t="shared" si="18"/>
        <v>1900</v>
      </c>
      <c r="I234" s="17">
        <f t="shared" si="19"/>
        <v>7</v>
      </c>
    </row>
    <row r="235" spans="1:9" ht="15" customHeight="1">
      <c r="E235" s="16">
        <f t="shared" si="22"/>
        <v>0</v>
      </c>
      <c r="F235" s="17">
        <f t="shared" si="21"/>
        <v>0</v>
      </c>
      <c r="G235" s="17">
        <f t="shared" si="17"/>
        <v>1</v>
      </c>
      <c r="H235" s="17">
        <f t="shared" si="18"/>
        <v>1900</v>
      </c>
      <c r="I235" s="17">
        <f t="shared" si="19"/>
        <v>7</v>
      </c>
    </row>
    <row r="236" spans="1:9" ht="15" customHeight="1">
      <c r="E236" s="16">
        <f t="shared" si="22"/>
        <v>0</v>
      </c>
      <c r="F236" s="17">
        <f t="shared" si="21"/>
        <v>0</v>
      </c>
      <c r="G236" s="17">
        <f t="shared" si="17"/>
        <v>1</v>
      </c>
      <c r="H236" s="17">
        <f t="shared" si="18"/>
        <v>1900</v>
      </c>
      <c r="I236" s="17">
        <f t="shared" si="19"/>
        <v>7</v>
      </c>
    </row>
    <row r="237" spans="1:9" ht="15" customHeight="1">
      <c r="E237" s="16">
        <f t="shared" si="22"/>
        <v>0</v>
      </c>
      <c r="F237" s="17">
        <f t="shared" si="21"/>
        <v>0</v>
      </c>
      <c r="G237" s="17">
        <f t="shared" si="17"/>
        <v>1</v>
      </c>
      <c r="H237" s="17">
        <f t="shared" si="18"/>
        <v>1900</v>
      </c>
      <c r="I237" s="17">
        <f t="shared" si="19"/>
        <v>7</v>
      </c>
    </row>
    <row r="238" spans="1:9" ht="15" customHeight="1">
      <c r="E238" s="16">
        <f t="shared" si="22"/>
        <v>0</v>
      </c>
      <c r="F238" s="17">
        <f t="shared" si="21"/>
        <v>0</v>
      </c>
      <c r="G238" s="17">
        <f t="shared" si="17"/>
        <v>1</v>
      </c>
      <c r="H238" s="17">
        <f t="shared" si="18"/>
        <v>1900</v>
      </c>
      <c r="I238" s="17">
        <f t="shared" si="19"/>
        <v>7</v>
      </c>
    </row>
    <row r="239" spans="1:9" ht="15" customHeight="1">
      <c r="E239" s="16">
        <f t="shared" si="22"/>
        <v>0</v>
      </c>
      <c r="F239" s="17">
        <f t="shared" si="21"/>
        <v>0</v>
      </c>
      <c r="G239" s="17">
        <f t="shared" si="17"/>
        <v>1</v>
      </c>
      <c r="H239" s="17">
        <f t="shared" si="18"/>
        <v>1900</v>
      </c>
      <c r="I239" s="17">
        <f t="shared" si="19"/>
        <v>7</v>
      </c>
    </row>
    <row r="240" spans="1:9" ht="15" customHeight="1">
      <c r="E240" s="16">
        <f t="shared" si="22"/>
        <v>0</v>
      </c>
      <c r="F240" s="17">
        <f t="shared" si="21"/>
        <v>0</v>
      </c>
      <c r="G240" s="17">
        <f t="shared" si="17"/>
        <v>1</v>
      </c>
      <c r="H240" s="17">
        <f t="shared" si="18"/>
        <v>1900</v>
      </c>
      <c r="I240" s="17">
        <f t="shared" si="19"/>
        <v>7</v>
      </c>
    </row>
    <row r="241" spans="5:9" ht="15" customHeight="1">
      <c r="E241" s="16">
        <f t="shared" si="22"/>
        <v>0</v>
      </c>
      <c r="F241" s="17">
        <f t="shared" si="21"/>
        <v>0</v>
      </c>
      <c r="G241" s="17">
        <f t="shared" si="17"/>
        <v>1</v>
      </c>
      <c r="H241" s="17">
        <f t="shared" si="18"/>
        <v>1900</v>
      </c>
      <c r="I241" s="17">
        <f t="shared" si="19"/>
        <v>7</v>
      </c>
    </row>
    <row r="242" spans="5:9" ht="15" customHeight="1">
      <c r="E242" s="16">
        <f t="shared" si="22"/>
        <v>0</v>
      </c>
      <c r="F242" s="17">
        <f t="shared" si="21"/>
        <v>0</v>
      </c>
      <c r="G242" s="17">
        <f t="shared" si="17"/>
        <v>1</v>
      </c>
      <c r="H242" s="17">
        <f t="shared" si="18"/>
        <v>1900</v>
      </c>
      <c r="I242" s="17">
        <f t="shared" si="19"/>
        <v>7</v>
      </c>
    </row>
    <row r="243" spans="5:9" ht="15" customHeight="1">
      <c r="E243" s="16">
        <f t="shared" si="22"/>
        <v>0</v>
      </c>
      <c r="F243" s="17">
        <f t="shared" si="21"/>
        <v>0</v>
      </c>
      <c r="G243" s="17">
        <f t="shared" si="17"/>
        <v>1</v>
      </c>
      <c r="H243" s="17">
        <f t="shared" si="18"/>
        <v>1900</v>
      </c>
      <c r="I243" s="17">
        <f t="shared" si="19"/>
        <v>7</v>
      </c>
    </row>
    <row r="244" spans="5:9" ht="15" customHeight="1">
      <c r="E244" s="16">
        <f t="shared" si="22"/>
        <v>0</v>
      </c>
      <c r="F244" s="17">
        <f t="shared" si="21"/>
        <v>0</v>
      </c>
      <c r="G244" s="17">
        <f t="shared" si="17"/>
        <v>1</v>
      </c>
      <c r="H244" s="17">
        <f t="shared" si="18"/>
        <v>1900</v>
      </c>
      <c r="I244" s="17">
        <f t="shared" si="19"/>
        <v>7</v>
      </c>
    </row>
    <row r="245" spans="5:9" ht="15" customHeight="1">
      <c r="E245" s="16">
        <f t="shared" si="22"/>
        <v>0</v>
      </c>
      <c r="F245" s="17">
        <f t="shared" si="21"/>
        <v>0</v>
      </c>
      <c r="G245" s="17">
        <f t="shared" si="17"/>
        <v>1</v>
      </c>
      <c r="H245" s="17">
        <f t="shared" si="18"/>
        <v>1900</v>
      </c>
      <c r="I245" s="17">
        <f t="shared" si="19"/>
        <v>7</v>
      </c>
    </row>
    <row r="246" spans="5:9" ht="15" customHeight="1">
      <c r="E246" s="16">
        <f t="shared" si="22"/>
        <v>0</v>
      </c>
      <c r="F246" s="17">
        <f t="shared" si="21"/>
        <v>0</v>
      </c>
      <c r="G246" s="17">
        <f t="shared" si="17"/>
        <v>1</v>
      </c>
      <c r="H246" s="17">
        <f t="shared" si="18"/>
        <v>1900</v>
      </c>
      <c r="I246" s="17">
        <f t="shared" si="19"/>
        <v>7</v>
      </c>
    </row>
    <row r="247" spans="5:9" ht="15" customHeight="1">
      <c r="E247" s="16">
        <f t="shared" si="22"/>
        <v>0</v>
      </c>
      <c r="F247" s="17">
        <f t="shared" si="21"/>
        <v>0</v>
      </c>
      <c r="G247" s="17">
        <f t="shared" si="17"/>
        <v>1</v>
      </c>
      <c r="H247" s="17">
        <f t="shared" si="18"/>
        <v>1900</v>
      </c>
      <c r="I247" s="17">
        <f t="shared" si="19"/>
        <v>7</v>
      </c>
    </row>
    <row r="248" spans="5:9" ht="15" customHeight="1">
      <c r="E248" s="16">
        <f t="shared" si="22"/>
        <v>0</v>
      </c>
      <c r="F248" s="17">
        <f t="shared" si="21"/>
        <v>0</v>
      </c>
      <c r="G248" s="17">
        <f t="shared" ref="G248:G256" si="23">MONTH(A248)</f>
        <v>1</v>
      </c>
      <c r="H248" s="17">
        <f t="shared" ref="H248:H256" si="24">YEAR(A248)</f>
        <v>1900</v>
      </c>
      <c r="I248" s="17">
        <f t="shared" ref="I248:I256" si="25">WEEKDAY(A248)</f>
        <v>7</v>
      </c>
    </row>
    <row r="249" spans="5:9" ht="15" customHeight="1">
      <c r="E249" s="16">
        <f t="shared" si="22"/>
        <v>0</v>
      </c>
      <c r="F249" s="17">
        <f t="shared" si="21"/>
        <v>0</v>
      </c>
      <c r="G249" s="17">
        <f t="shared" si="23"/>
        <v>1</v>
      </c>
      <c r="H249" s="17">
        <f t="shared" si="24"/>
        <v>1900</v>
      </c>
      <c r="I249" s="17">
        <f t="shared" si="25"/>
        <v>7</v>
      </c>
    </row>
    <row r="250" spans="5:9" ht="15" customHeight="1">
      <c r="E250" s="16">
        <f t="shared" si="22"/>
        <v>0</v>
      </c>
      <c r="F250" s="17">
        <f t="shared" si="21"/>
        <v>0</v>
      </c>
      <c r="G250" s="17">
        <f t="shared" si="23"/>
        <v>1</v>
      </c>
      <c r="H250" s="17">
        <f t="shared" si="24"/>
        <v>1900</v>
      </c>
      <c r="I250" s="17">
        <f t="shared" si="25"/>
        <v>7</v>
      </c>
    </row>
    <row r="251" spans="5:9" ht="15" customHeight="1">
      <c r="E251" s="16">
        <f t="shared" si="22"/>
        <v>0</v>
      </c>
      <c r="F251" s="17">
        <f t="shared" si="21"/>
        <v>0</v>
      </c>
      <c r="G251" s="17">
        <f t="shared" si="23"/>
        <v>1</v>
      </c>
      <c r="H251" s="17">
        <f t="shared" si="24"/>
        <v>1900</v>
      </c>
      <c r="I251" s="17">
        <f t="shared" si="25"/>
        <v>7</v>
      </c>
    </row>
    <row r="252" spans="5:9" ht="15" customHeight="1">
      <c r="E252" s="16">
        <f t="shared" si="22"/>
        <v>0</v>
      </c>
      <c r="F252" s="17">
        <f t="shared" si="21"/>
        <v>0</v>
      </c>
      <c r="G252" s="17">
        <f t="shared" si="23"/>
        <v>1</v>
      </c>
      <c r="H252" s="17">
        <f t="shared" si="24"/>
        <v>1900</v>
      </c>
      <c r="I252" s="17">
        <f t="shared" si="25"/>
        <v>7</v>
      </c>
    </row>
    <row r="253" spans="5:9" ht="15" customHeight="1">
      <c r="E253" s="16">
        <f t="shared" si="22"/>
        <v>0</v>
      </c>
      <c r="F253" s="17">
        <f t="shared" si="21"/>
        <v>0</v>
      </c>
      <c r="G253" s="17">
        <f t="shared" si="23"/>
        <v>1</v>
      </c>
      <c r="H253" s="17">
        <f t="shared" si="24"/>
        <v>1900</v>
      </c>
      <c r="I253" s="17">
        <f t="shared" si="25"/>
        <v>7</v>
      </c>
    </row>
    <row r="254" spans="5:9" ht="15" customHeight="1">
      <c r="E254" s="16">
        <f t="shared" si="22"/>
        <v>0</v>
      </c>
      <c r="F254" s="17">
        <f t="shared" si="21"/>
        <v>0</v>
      </c>
      <c r="G254" s="17">
        <f t="shared" si="23"/>
        <v>1</v>
      </c>
      <c r="H254" s="17">
        <f t="shared" si="24"/>
        <v>1900</v>
      </c>
      <c r="I254" s="17">
        <f t="shared" si="25"/>
        <v>7</v>
      </c>
    </row>
    <row r="255" spans="5:9" ht="15" customHeight="1">
      <c r="E255" s="16">
        <f t="shared" si="22"/>
        <v>0</v>
      </c>
      <c r="F255" s="17">
        <f t="shared" si="21"/>
        <v>0</v>
      </c>
      <c r="G255" s="17">
        <f t="shared" si="23"/>
        <v>1</v>
      </c>
      <c r="H255" s="17">
        <f t="shared" si="24"/>
        <v>1900</v>
      </c>
      <c r="I255" s="17">
        <f t="shared" si="25"/>
        <v>7</v>
      </c>
    </row>
    <row r="256" spans="5:9" ht="15" customHeight="1">
      <c r="E256" s="16">
        <f t="shared" si="22"/>
        <v>0</v>
      </c>
      <c r="F256" s="17">
        <f t="shared" si="21"/>
        <v>0</v>
      </c>
      <c r="G256" s="17">
        <f t="shared" si="23"/>
        <v>1</v>
      </c>
      <c r="H256" s="17">
        <f t="shared" si="24"/>
        <v>1900</v>
      </c>
      <c r="I256" s="17">
        <f t="shared" si="25"/>
        <v>7</v>
      </c>
    </row>
    <row r="257" spans="5:5" ht="15" customHeight="1">
      <c r="E257" s="16">
        <f t="shared" si="22"/>
        <v>0</v>
      </c>
    </row>
    <row r="258" spans="5:5" ht="15" customHeight="1">
      <c r="E258" s="16">
        <f t="shared" si="22"/>
        <v>0</v>
      </c>
    </row>
    <row r="259" spans="5:5" ht="15" customHeight="1">
      <c r="E259" s="16">
        <f t="shared" si="22"/>
        <v>0</v>
      </c>
    </row>
    <row r="260" spans="5:5" ht="15" customHeight="1">
      <c r="E260" s="16">
        <f t="shared" si="22"/>
        <v>0</v>
      </c>
    </row>
    <row r="261" spans="5:5" ht="15" customHeight="1">
      <c r="E261" s="16">
        <f t="shared" si="22"/>
        <v>0</v>
      </c>
    </row>
    <row r="262" spans="5:5" ht="15" customHeight="1">
      <c r="E262" s="16">
        <f t="shared" si="22"/>
        <v>0</v>
      </c>
    </row>
    <row r="263" spans="5:5" ht="15" customHeight="1">
      <c r="E263" s="16">
        <f t="shared" si="22"/>
        <v>0</v>
      </c>
    </row>
    <row r="264" spans="5:5" ht="15" customHeight="1">
      <c r="E264" s="16">
        <f t="shared" si="22"/>
        <v>0</v>
      </c>
    </row>
    <row r="265" spans="5:5" ht="15" customHeight="1">
      <c r="E265" s="16">
        <f t="shared" si="22"/>
        <v>0</v>
      </c>
    </row>
    <row r="266" spans="5:5" ht="15" customHeight="1">
      <c r="E266" s="16">
        <f t="shared" si="22"/>
        <v>0</v>
      </c>
    </row>
    <row r="267" spans="5:5" ht="15" customHeight="1">
      <c r="E267" s="16">
        <f t="shared" si="22"/>
        <v>0</v>
      </c>
    </row>
    <row r="268" spans="5:5" ht="15" customHeight="1">
      <c r="E268" s="16">
        <f t="shared" si="22"/>
        <v>0</v>
      </c>
    </row>
    <row r="269" spans="5:5" ht="15" customHeight="1">
      <c r="E269" s="16">
        <f t="shared" si="22"/>
        <v>0</v>
      </c>
    </row>
    <row r="270" spans="5:5" ht="15" customHeight="1">
      <c r="E270" s="16">
        <f t="shared" ref="E270:E333" si="26">IF(OR(C270="", D270=""), 0, (D270-C270)*24)</f>
        <v>0</v>
      </c>
    </row>
    <row r="271" spans="5:5" ht="15" customHeight="1">
      <c r="E271" s="16">
        <f t="shared" si="26"/>
        <v>0</v>
      </c>
    </row>
    <row r="272" spans="5:5" ht="15" customHeight="1">
      <c r="E272" s="16">
        <f t="shared" si="26"/>
        <v>0</v>
      </c>
    </row>
    <row r="273" spans="5:5" ht="15" customHeight="1">
      <c r="E273" s="16">
        <f t="shared" si="26"/>
        <v>0</v>
      </c>
    </row>
    <row r="274" spans="5:5" ht="15" customHeight="1">
      <c r="E274" s="16">
        <f t="shared" si="26"/>
        <v>0</v>
      </c>
    </row>
    <row r="275" spans="5:5" ht="15" customHeight="1">
      <c r="E275" s="16">
        <f t="shared" si="26"/>
        <v>0</v>
      </c>
    </row>
    <row r="276" spans="5:5" ht="15" customHeight="1">
      <c r="E276" s="16">
        <f t="shared" si="26"/>
        <v>0</v>
      </c>
    </row>
    <row r="277" spans="5:5" ht="15" customHeight="1">
      <c r="E277" s="16">
        <f t="shared" si="26"/>
        <v>0</v>
      </c>
    </row>
    <row r="278" spans="5:5" ht="15" customHeight="1">
      <c r="E278" s="16">
        <f t="shared" si="26"/>
        <v>0</v>
      </c>
    </row>
    <row r="279" spans="5:5" ht="15" customHeight="1">
      <c r="E279" s="16">
        <f t="shared" si="26"/>
        <v>0</v>
      </c>
    </row>
    <row r="280" spans="5:5" ht="15" customHeight="1">
      <c r="E280" s="16">
        <f t="shared" si="26"/>
        <v>0</v>
      </c>
    </row>
    <row r="281" spans="5:5" ht="15" customHeight="1">
      <c r="E281" s="16">
        <f t="shared" si="26"/>
        <v>0</v>
      </c>
    </row>
    <row r="282" spans="5:5" ht="15" customHeight="1">
      <c r="E282" s="16">
        <f t="shared" si="26"/>
        <v>0</v>
      </c>
    </row>
    <row r="283" spans="5:5" ht="15" customHeight="1">
      <c r="E283" s="16">
        <f t="shared" si="26"/>
        <v>0</v>
      </c>
    </row>
    <row r="284" spans="5:5" ht="15" customHeight="1">
      <c r="E284" s="16">
        <f t="shared" si="26"/>
        <v>0</v>
      </c>
    </row>
    <row r="285" spans="5:5" ht="15" customHeight="1">
      <c r="E285" s="16">
        <f t="shared" si="26"/>
        <v>0</v>
      </c>
    </row>
    <row r="286" spans="5:5" ht="15" customHeight="1">
      <c r="E286" s="16">
        <f t="shared" si="26"/>
        <v>0</v>
      </c>
    </row>
    <row r="287" spans="5:5" ht="15" customHeight="1">
      <c r="E287" s="16">
        <f t="shared" si="26"/>
        <v>0</v>
      </c>
    </row>
    <row r="288" spans="5:5" ht="15" customHeight="1">
      <c r="E288" s="16">
        <f t="shared" si="26"/>
        <v>0</v>
      </c>
    </row>
    <row r="289" spans="5:5" ht="15" customHeight="1">
      <c r="E289" s="16">
        <f t="shared" si="26"/>
        <v>0</v>
      </c>
    </row>
    <row r="290" spans="5:5" ht="15" customHeight="1">
      <c r="E290" s="16">
        <f t="shared" si="26"/>
        <v>0</v>
      </c>
    </row>
    <row r="291" spans="5:5" ht="15" customHeight="1">
      <c r="E291" s="16">
        <f t="shared" si="26"/>
        <v>0</v>
      </c>
    </row>
    <row r="292" spans="5:5" ht="15" customHeight="1">
      <c r="E292" s="16">
        <f t="shared" si="26"/>
        <v>0</v>
      </c>
    </row>
    <row r="293" spans="5:5" ht="15" customHeight="1">
      <c r="E293" s="16">
        <f t="shared" si="26"/>
        <v>0</v>
      </c>
    </row>
    <row r="294" spans="5:5" ht="15" customHeight="1">
      <c r="E294" s="16">
        <f t="shared" si="26"/>
        <v>0</v>
      </c>
    </row>
    <row r="295" spans="5:5" ht="15" customHeight="1">
      <c r="E295" s="16">
        <f t="shared" si="26"/>
        <v>0</v>
      </c>
    </row>
    <row r="296" spans="5:5" ht="15" customHeight="1">
      <c r="E296" s="16">
        <f t="shared" si="26"/>
        <v>0</v>
      </c>
    </row>
    <row r="297" spans="5:5" ht="15" customHeight="1">
      <c r="E297" s="16">
        <f t="shared" si="26"/>
        <v>0</v>
      </c>
    </row>
    <row r="298" spans="5:5" ht="15" customHeight="1">
      <c r="E298" s="16">
        <f t="shared" si="26"/>
        <v>0</v>
      </c>
    </row>
    <row r="299" spans="5:5" ht="15" customHeight="1">
      <c r="E299" s="16">
        <f t="shared" si="26"/>
        <v>0</v>
      </c>
    </row>
    <row r="300" spans="5:5" ht="15" customHeight="1">
      <c r="E300" s="16">
        <f t="shared" si="26"/>
        <v>0</v>
      </c>
    </row>
    <row r="301" spans="5:5" ht="15" customHeight="1">
      <c r="E301" s="16">
        <f t="shared" si="26"/>
        <v>0</v>
      </c>
    </row>
    <row r="302" spans="5:5" ht="15" customHeight="1">
      <c r="E302" s="16">
        <f t="shared" si="26"/>
        <v>0</v>
      </c>
    </row>
    <row r="303" spans="5:5" ht="15" customHeight="1">
      <c r="E303" s="16">
        <f t="shared" si="26"/>
        <v>0</v>
      </c>
    </row>
    <row r="304" spans="5:5" ht="15" customHeight="1">
      <c r="E304" s="16">
        <f t="shared" si="26"/>
        <v>0</v>
      </c>
    </row>
    <row r="305" spans="5:5" ht="15" customHeight="1">
      <c r="E305" s="16">
        <f t="shared" si="26"/>
        <v>0</v>
      </c>
    </row>
    <row r="306" spans="5:5" ht="15" customHeight="1">
      <c r="E306" s="16">
        <f t="shared" si="26"/>
        <v>0</v>
      </c>
    </row>
    <row r="307" spans="5:5" ht="15" customHeight="1">
      <c r="E307" s="16">
        <f t="shared" si="26"/>
        <v>0</v>
      </c>
    </row>
    <row r="308" spans="5:5" ht="15" customHeight="1">
      <c r="E308" s="16">
        <f t="shared" si="26"/>
        <v>0</v>
      </c>
    </row>
    <row r="309" spans="5:5" ht="15" customHeight="1">
      <c r="E309" s="16">
        <f t="shared" si="26"/>
        <v>0</v>
      </c>
    </row>
    <row r="310" spans="5:5" ht="15" customHeight="1">
      <c r="E310" s="16">
        <f t="shared" si="26"/>
        <v>0</v>
      </c>
    </row>
    <row r="311" spans="5:5" ht="15" customHeight="1">
      <c r="E311" s="16">
        <f t="shared" si="26"/>
        <v>0</v>
      </c>
    </row>
    <row r="312" spans="5:5" ht="15" customHeight="1">
      <c r="E312" s="16">
        <f t="shared" si="26"/>
        <v>0</v>
      </c>
    </row>
    <row r="313" spans="5:5" ht="15" customHeight="1">
      <c r="E313" s="16">
        <f t="shared" si="26"/>
        <v>0</v>
      </c>
    </row>
    <row r="314" spans="5:5" ht="15" customHeight="1">
      <c r="E314" s="16">
        <f t="shared" si="26"/>
        <v>0</v>
      </c>
    </row>
    <row r="315" spans="5:5" ht="15" customHeight="1">
      <c r="E315" s="16">
        <f t="shared" si="26"/>
        <v>0</v>
      </c>
    </row>
    <row r="316" spans="5:5" ht="15" customHeight="1">
      <c r="E316" s="16">
        <f t="shared" si="26"/>
        <v>0</v>
      </c>
    </row>
    <row r="317" spans="5:5" ht="15" customHeight="1">
      <c r="E317" s="16">
        <f t="shared" si="26"/>
        <v>0</v>
      </c>
    </row>
    <row r="318" spans="5:5" ht="15" customHeight="1">
      <c r="E318" s="16">
        <f t="shared" si="26"/>
        <v>0</v>
      </c>
    </row>
    <row r="319" spans="5:5" ht="15" customHeight="1">
      <c r="E319" s="16">
        <f t="shared" si="26"/>
        <v>0</v>
      </c>
    </row>
    <row r="320" spans="5:5" ht="15" customHeight="1">
      <c r="E320" s="16">
        <f t="shared" si="26"/>
        <v>0</v>
      </c>
    </row>
    <row r="321" spans="5:5" ht="15" customHeight="1">
      <c r="E321" s="16">
        <f t="shared" si="26"/>
        <v>0</v>
      </c>
    </row>
    <row r="322" spans="5:5" ht="15" customHeight="1">
      <c r="E322" s="16">
        <f t="shared" si="26"/>
        <v>0</v>
      </c>
    </row>
    <row r="323" spans="5:5" ht="15" customHeight="1">
      <c r="E323" s="16">
        <f t="shared" si="26"/>
        <v>0</v>
      </c>
    </row>
    <row r="324" spans="5:5" ht="15" customHeight="1">
      <c r="E324" s="16">
        <f t="shared" si="26"/>
        <v>0</v>
      </c>
    </row>
    <row r="325" spans="5:5" ht="15" customHeight="1">
      <c r="E325" s="16">
        <f t="shared" si="26"/>
        <v>0</v>
      </c>
    </row>
    <row r="326" spans="5:5" ht="15" customHeight="1">
      <c r="E326" s="16">
        <f t="shared" si="26"/>
        <v>0</v>
      </c>
    </row>
    <row r="327" spans="5:5" ht="15" customHeight="1">
      <c r="E327" s="16">
        <f t="shared" si="26"/>
        <v>0</v>
      </c>
    </row>
    <row r="328" spans="5:5" ht="15" customHeight="1">
      <c r="E328" s="16">
        <f t="shared" si="26"/>
        <v>0</v>
      </c>
    </row>
    <row r="329" spans="5:5" ht="15" customHeight="1">
      <c r="E329" s="16">
        <f t="shared" si="26"/>
        <v>0</v>
      </c>
    </row>
    <row r="330" spans="5:5" ht="15" customHeight="1">
      <c r="E330" s="16">
        <f t="shared" si="26"/>
        <v>0</v>
      </c>
    </row>
    <row r="331" spans="5:5" ht="15" customHeight="1">
      <c r="E331" s="16">
        <f t="shared" si="26"/>
        <v>0</v>
      </c>
    </row>
    <row r="332" spans="5:5" ht="15" customHeight="1">
      <c r="E332" s="16">
        <f t="shared" si="26"/>
        <v>0</v>
      </c>
    </row>
    <row r="333" spans="5:5" ht="15" customHeight="1">
      <c r="E333" s="16">
        <f t="shared" si="26"/>
        <v>0</v>
      </c>
    </row>
    <row r="334" spans="5:5" ht="15" customHeight="1">
      <c r="E334" s="16">
        <f t="shared" ref="E334:E347" si="27">IF(OR(C334="", D334=""), 0, (D334-C334)*24)</f>
        <v>0</v>
      </c>
    </row>
    <row r="335" spans="5:5" ht="15" customHeight="1">
      <c r="E335" s="16">
        <f t="shared" si="27"/>
        <v>0</v>
      </c>
    </row>
    <row r="336" spans="5:5" ht="15" customHeight="1">
      <c r="E336" s="16">
        <f t="shared" si="27"/>
        <v>0</v>
      </c>
    </row>
    <row r="337" spans="5:5" ht="15" customHeight="1">
      <c r="E337" s="16">
        <f t="shared" si="27"/>
        <v>0</v>
      </c>
    </row>
    <row r="338" spans="5:5" ht="15" customHeight="1">
      <c r="E338" s="16">
        <f t="shared" si="27"/>
        <v>0</v>
      </c>
    </row>
    <row r="339" spans="5:5" ht="15" customHeight="1">
      <c r="E339" s="16">
        <f t="shared" si="27"/>
        <v>0</v>
      </c>
    </row>
    <row r="340" spans="5:5" ht="15" customHeight="1">
      <c r="E340" s="16">
        <f t="shared" si="27"/>
        <v>0</v>
      </c>
    </row>
    <row r="341" spans="5:5" ht="15" customHeight="1">
      <c r="E341" s="16">
        <f t="shared" si="27"/>
        <v>0</v>
      </c>
    </row>
    <row r="342" spans="5:5" ht="15" customHeight="1">
      <c r="E342" s="16">
        <f t="shared" si="27"/>
        <v>0</v>
      </c>
    </row>
    <row r="343" spans="5:5" ht="15" customHeight="1">
      <c r="E343" s="16">
        <f t="shared" si="27"/>
        <v>0</v>
      </c>
    </row>
    <row r="344" spans="5:5" ht="15" customHeight="1">
      <c r="E344" s="16">
        <f t="shared" si="27"/>
        <v>0</v>
      </c>
    </row>
    <row r="345" spans="5:5" ht="15" customHeight="1">
      <c r="E345" s="16">
        <f t="shared" si="27"/>
        <v>0</v>
      </c>
    </row>
    <row r="346" spans="5:5" ht="15" customHeight="1">
      <c r="E346" s="16">
        <f t="shared" si="27"/>
        <v>0</v>
      </c>
    </row>
    <row r="347" spans="5:5" ht="15" customHeight="1">
      <c r="E347" s="16">
        <f t="shared" si="27"/>
        <v>0</v>
      </c>
    </row>
  </sheetData>
  <autoFilter ref="A1:I256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>
      <selection activeCell="B21" sqref="B21"/>
    </sheetView>
  </sheetViews>
  <sheetFormatPr defaultColWidth="14.42578125" defaultRowHeight="15" customHeight="1"/>
  <cols>
    <col min="1" max="1" width="30.7109375" customWidth="1"/>
    <col min="2" max="4" width="12.7109375" customWidth="1"/>
    <col min="5" max="5" width="13.5703125" customWidth="1"/>
    <col min="6" max="9" width="12.7109375" customWidth="1"/>
    <col min="10" max="10" width="16.85546875" customWidth="1"/>
    <col min="11" max="11" width="24.7109375" customWidth="1"/>
  </cols>
  <sheetData>
    <row r="1" spans="1:11">
      <c r="A1" s="2" t="s">
        <v>12</v>
      </c>
      <c r="B1" s="3"/>
      <c r="C1" s="2" t="s">
        <v>13</v>
      </c>
      <c r="D1" s="3"/>
      <c r="E1" s="24" t="s">
        <v>14</v>
      </c>
      <c r="F1" s="25"/>
      <c r="G1" s="9"/>
      <c r="H1" s="9"/>
      <c r="I1" s="9"/>
    </row>
    <row r="3" spans="1:11">
      <c r="A3" s="4" t="s">
        <v>15</v>
      </c>
    </row>
    <row r="5" spans="1:11">
      <c r="A5" s="1" t="s">
        <v>1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</row>
    <row r="6" spans="1:11">
      <c r="A6" s="8" t="s">
        <v>7</v>
      </c>
      <c r="B6" s="6">
        <f>SUMIFS('Banco de Dados'!$E:$E,'Banco de Dados'!$B:$B,$A6,'Banco de Dados'!$G:$G,IF($B$1="","&gt;0",$B$1),'Banco de Dados'!$H:$H,IF($D$1="","&gt;0",$D$1),'Banco de Dados'!$F:$F,IF($F$1="","&gt;0",$F$1),'Banco de Dados'!$I:$I,2)</f>
        <v>50.50555555555556</v>
      </c>
      <c r="C6" s="6">
        <f>SUMIFS('Banco de Dados'!$E:$E,'Banco de Dados'!$B:$B,$A6,'Banco de Dados'!$G:$G,IF($B$1="","&gt;0",$B$1),'Banco de Dados'!$H:$H,IF($D$1="","&gt;0",$D$1),'Banco de Dados'!$F:$F,IF($F$1="","&gt;0",$F$1),'Banco de Dados'!$I:$I,3)</f>
        <v>27.644166666666663</v>
      </c>
      <c r="D6" s="6">
        <f>SUMIFS('Banco de Dados'!$E:$E,'Banco de Dados'!$B:$B,$A6,'Banco de Dados'!$G:$G,IF($B$1="","&gt;0",$B$1),'Banco de Dados'!$H:$H,IF($D$1="","&gt;0",$D$1),'Banco de Dados'!$F:$F,IF($F$1="","&gt;0",$F$1),'Banco de Dados'!$I:$I,4)</f>
        <v>51.011111111111106</v>
      </c>
      <c r="E6" s="6">
        <f>SUMIFS('Banco de Dados'!$E:$E,'Banco de Dados'!$B:$B,$A6,'Banco de Dados'!$G:$G,IF($B$1="","&gt;0",$B$1),'Banco de Dados'!$H:$H,IF($D$1="","&gt;0",$D$1),'Banco de Dados'!$F:$F,IF($F$1="","&gt;0",$F$1),'Banco de Dados'!$I:$I,5)</f>
        <v>48.453333333333333</v>
      </c>
      <c r="F6" s="6">
        <f>SUMIFS('Banco de Dados'!$E:$E,'Banco de Dados'!$B:$B,$A6,'Banco de Dados'!$G:$G,IF($B$1="","&gt;0",$B$1),'Banco de Dados'!$H:$H,IF($D$1="","&gt;0",$D$1),'Banco de Dados'!$F:$F,IF($F$1="","&gt;0",$F$1),'Banco de Dados'!$I:$I,6)</f>
        <v>52.353611111111107</v>
      </c>
      <c r="G6" s="6">
        <f>SUMIFS('Banco de Dados'!$E:$E,'Banco de Dados'!$B:$B,$A6,'Banco de Dados'!$G:$G,IF($B$1="","&gt;0",$B$1),'Banco de Dados'!$H:$H,IF($D$1="","&gt;0",$D$1),'Banco de Dados'!$F:$F,IF($F$1="","&gt;0",$F$1),'Banco de Dados'!$I:$I,7)</f>
        <v>32.21</v>
      </c>
      <c r="H6" s="6">
        <f>SUMIFS('Banco de Dados'!$E:$E,'Banco de Dados'!$B:$B,$A6,'Banco de Dados'!$G:$G,IF($B$1="","&gt;0",$B$1),'Banco de Dados'!$H:$H,IF($D$1="","&gt;0",$D$1),'Banco de Dados'!$F:$F,IF($F$1="","&gt;0",$F$1),'Banco de Dados'!$I:$I,1)</f>
        <v>0</v>
      </c>
      <c r="I6" s="7">
        <f>SUMIFS('Banco de Dados'!$E:$E,'Banco de Dados'!$B:$B,$A6,'Banco de Dados'!$G:$G,IF($B$1="","&gt;0",$B$1),'Banco de Dados'!$H:$H,IF($D$1="","&gt;0",$D$1),'Banco de Dados'!$F:$F,IF($F$1="","&gt;0",$F$1))</f>
        <v>262.17777777777775</v>
      </c>
      <c r="J6" s="6">
        <f>SUMIF('Banco de Dados'!$B$2:$B$4989, $A6, 'Banco de Dados'!$E$2:$E$4989)</f>
        <v>262.17777777777775</v>
      </c>
      <c r="K6" s="5">
        <f>COUNTIF('Banco de Dados'!$B$2:$B$4989, $A6)</f>
        <v>39</v>
      </c>
    </row>
    <row r="7" spans="1:11">
      <c r="A7" s="5" t="s">
        <v>30</v>
      </c>
      <c r="B7" s="6">
        <f>SUMIFS('Banco de Dados'!$E:$E,'Banco de Dados'!$B:$B,$A7,'Banco de Dados'!$G:$G,IF($B$1="","&gt;0",$B$1),'Banco de Dados'!$H:$H,IF($D$1="","&gt;0",$D$1),'Banco de Dados'!$F:$F,IF($F$1="","&gt;0",$F$1),'Banco de Dados'!$I:$I,2)</f>
        <v>0</v>
      </c>
      <c r="C7" s="6">
        <f>SUMIFS('Banco de Dados'!$E:$E,'Banco de Dados'!$B:$B,$A7,'Banco de Dados'!$G:$G,IF($B$1="","&gt;0",$B$1),'Banco de Dados'!$H:$H,IF($D$1="","&gt;0",$D$1),'Banco de Dados'!$F:$F,IF($F$1="","&gt;0",$F$1),'Banco de Dados'!$I:$I,3)</f>
        <v>0</v>
      </c>
      <c r="D7" s="6">
        <f>SUMIFS('Banco de Dados'!$E:$E,'Banco de Dados'!$B:$B,$A7,'Banco de Dados'!$G:$G,IF($B$1="","&gt;0",$B$1),'Banco de Dados'!$H:$H,IF($D$1="","&gt;0",$D$1),'Banco de Dados'!$F:$F,IF($F$1="","&gt;0",$F$1),'Banco de Dados'!$I:$I,4)</f>
        <v>0</v>
      </c>
      <c r="E7" s="6">
        <f>SUMIFS('Banco de Dados'!$E:$E,'Banco de Dados'!$B:$B,$A7,'Banco de Dados'!$G:$G,IF($B$1="","&gt;0",$B$1),'Banco de Dados'!$H:$H,IF($D$1="","&gt;0",$D$1),'Banco de Dados'!$F:$F,IF($F$1="","&gt;0",$F$1),'Banco de Dados'!$I:$I,5)</f>
        <v>0</v>
      </c>
      <c r="F7" s="6">
        <f>SUMIFS('Banco de Dados'!$E:$E,'Banco de Dados'!$B:$B,$A7,'Banco de Dados'!$G:$G,IF($B$1="","&gt;0",$B$1),'Banco de Dados'!$H:$H,IF($D$1="","&gt;0",$D$1),'Banco de Dados'!$F:$F,IF($F$1="","&gt;0",$F$1),'Banco de Dados'!$I:$I,6)</f>
        <v>0</v>
      </c>
      <c r="G7" s="6">
        <f>SUMIFS('Banco de Dados'!$E:$E,'Banco de Dados'!$B:$B,$A7,'Banco de Dados'!$G:$G,IF($B$1="","&gt;0",$B$1),'Banco de Dados'!$H:$H,IF($D$1="","&gt;0",$D$1),'Banco de Dados'!$F:$F,IF($F$1="","&gt;0",$F$1),'Banco de Dados'!$I:$I,7)</f>
        <v>0</v>
      </c>
      <c r="H7" s="6">
        <f>SUMIFS('Banco de Dados'!$E:$E,'Banco de Dados'!$B:$B,$A7,'Banco de Dados'!$G:$G,IF($B$1="","&gt;0",$B$1),'Banco de Dados'!$H:$H,IF($D$1="","&gt;0",$D$1),'Banco de Dados'!$F:$F,IF($F$1="","&gt;0",$F$1),'Banco de Dados'!$I:$I,1)</f>
        <v>0</v>
      </c>
      <c r="I7" s="7">
        <f>SUMIFS('Banco de Dados'!$E:$E,'Banco de Dados'!$B:$B,$A7,'Banco de Dados'!$G:$G,IF($B$1="","&gt;0",$B$1),'Banco de Dados'!$H:$H,IF($D$1="","&gt;0",$D$1),'Banco de Dados'!$F:$F,IF($F$1="","&gt;0",$F$1))</f>
        <v>0</v>
      </c>
      <c r="J7" s="6">
        <f>SUMIF('Banco de Dados'!$B$2:$B$4989, $A7, 'Banco de Dados'!$E$2:$E$4989)</f>
        <v>0</v>
      </c>
      <c r="K7" s="5">
        <f>COUNTIF('Banco de Dados'!$B$2:$B$4989, $A7)</f>
        <v>0</v>
      </c>
    </row>
    <row r="8" spans="1:11">
      <c r="A8" s="5" t="s">
        <v>29</v>
      </c>
      <c r="B8" s="6">
        <f>SUMIFS('Banco de Dados'!$E:$E,'Banco de Dados'!$B:$B,$A8,'Banco de Dados'!$G:$G,IF($B$1="","&gt;0",$B$1),'Banco de Dados'!$H:$H,IF($D$1="","&gt;0",$D$1),'Banco de Dados'!$F:$F,IF($F$1="","&gt;0",$F$1),'Banco de Dados'!$I:$I,2)</f>
        <v>0</v>
      </c>
      <c r="C8" s="6">
        <f>SUMIFS('Banco de Dados'!$E:$E,'Banco de Dados'!$B:$B,$A8,'Banco de Dados'!$G:$G,IF($B$1="","&gt;0",$B$1),'Banco de Dados'!$H:$H,IF($D$1="","&gt;0",$D$1),'Banco de Dados'!$F:$F,IF($F$1="","&gt;0",$F$1),'Banco de Dados'!$I:$I,3)</f>
        <v>0</v>
      </c>
      <c r="D8" s="6">
        <f>SUMIFS('Banco de Dados'!$E:$E,'Banco de Dados'!$B:$B,$A8,'Banco de Dados'!$G:$G,IF($B$1="","&gt;0",$B$1),'Banco de Dados'!$H:$H,IF($D$1="","&gt;0",$D$1),'Banco de Dados'!$F:$F,IF($F$1="","&gt;0",$F$1),'Banco de Dados'!$I:$I,4)</f>
        <v>0</v>
      </c>
      <c r="E8" s="6">
        <f>SUMIFS('Banco de Dados'!$E:$E,'Banco de Dados'!$B:$B,$A8,'Banco de Dados'!$G:$G,IF($B$1="","&gt;0",$B$1),'Banco de Dados'!$H:$H,IF($D$1="","&gt;0",$D$1),'Banco de Dados'!$F:$F,IF($F$1="","&gt;0",$F$1),'Banco de Dados'!$I:$I,5)</f>
        <v>0</v>
      </c>
      <c r="F8" s="6">
        <f>SUMIFS('Banco de Dados'!$E:$E,'Banco de Dados'!$B:$B,$A8,'Banco de Dados'!$G:$G,IF($B$1="","&gt;0",$B$1),'Banco de Dados'!$H:$H,IF($D$1="","&gt;0",$D$1),'Banco de Dados'!$F:$F,IF($F$1="","&gt;0",$F$1),'Banco de Dados'!$I:$I,6)</f>
        <v>0</v>
      </c>
      <c r="G8" s="6">
        <f>SUMIFS('Banco de Dados'!$E:$E,'Banco de Dados'!$B:$B,$A8,'Banco de Dados'!$G:$G,IF($B$1="","&gt;0",$B$1),'Banco de Dados'!$H:$H,IF($D$1="","&gt;0",$D$1),'Banco de Dados'!$F:$F,IF($F$1="","&gt;0",$F$1),'Banco de Dados'!$I:$I,7)</f>
        <v>0</v>
      </c>
      <c r="H8" s="6">
        <f>SUMIFS('Banco de Dados'!$E:$E,'Banco de Dados'!$B:$B,$A8,'Banco de Dados'!$G:$G,IF($B$1="","&gt;0",$B$1),'Banco de Dados'!$H:$H,IF($D$1="","&gt;0",$D$1),'Banco de Dados'!$F:$F,IF($F$1="","&gt;0",$F$1),'Banco de Dados'!$I:$I,1)</f>
        <v>0</v>
      </c>
      <c r="I8" s="7">
        <f>SUMIFS('Banco de Dados'!$E:$E,'Banco de Dados'!$B:$B,$A8,'Banco de Dados'!$G:$G,IF($B$1="","&gt;0",$B$1),'Banco de Dados'!$H:$H,IF($D$1="","&gt;0",$D$1),'Banco de Dados'!$F:$F,IF($F$1="","&gt;0",$F$1))</f>
        <v>0</v>
      </c>
      <c r="J8" s="6">
        <f>SUMIF('Banco de Dados'!$B$2:$B$4989, $A8, 'Banco de Dados'!$E$2:$E$4989)</f>
        <v>0</v>
      </c>
      <c r="K8" s="5">
        <f>COUNTIF('Banco de Dados'!$B$2:$B$4989, $A8)</f>
        <v>0</v>
      </c>
    </row>
    <row r="9" spans="1:11">
      <c r="A9" s="8" t="s">
        <v>9</v>
      </c>
      <c r="B9" s="6">
        <f>SUMIFS('Banco de Dados'!$E:$E,'Banco de Dados'!$B:$B,$A9,'Banco de Dados'!$G:$G,IF($B$1="","&gt;0",$B$1),'Banco de Dados'!$H:$H,IF($D$1="","&gt;0",$D$1),'Banco de Dados'!$F:$F,IF($F$1="","&gt;0",$F$1),'Banco de Dados'!$I:$I,2)</f>
        <v>39.922777777777782</v>
      </c>
      <c r="C9" s="6">
        <f>SUMIFS('Banco de Dados'!$E:$E,'Banco de Dados'!$B:$B,$A9,'Banco de Dados'!$G:$G,IF($B$1="","&gt;0",$B$1),'Banco de Dados'!$H:$H,IF($D$1="","&gt;0",$D$1),'Banco de Dados'!$F:$F,IF($F$1="","&gt;0",$F$1),'Banco de Dados'!$I:$I,3)</f>
        <v>30.363611111111119</v>
      </c>
      <c r="D9" s="6">
        <f>SUMIFS('Banco de Dados'!$E:$E,'Banco de Dados'!$B:$B,$A9,'Banco de Dados'!$G:$G,IF($B$1="","&gt;0",$B$1),'Banco de Dados'!$H:$H,IF($D$1="","&gt;0",$D$1),'Banco de Dados'!$F:$F,IF($F$1="","&gt;0",$F$1),'Banco de Dados'!$I:$I,4)</f>
        <v>43.836388888888884</v>
      </c>
      <c r="E9" s="6">
        <f>SUMIFS('Banco de Dados'!$E:$E,'Banco de Dados'!$B:$B,$A9,'Banco de Dados'!$G:$G,IF($B$1="","&gt;0",$B$1),'Banco de Dados'!$H:$H,IF($D$1="","&gt;0",$D$1),'Banco de Dados'!$F:$F,IF($F$1="","&gt;0",$F$1),'Banco de Dados'!$I:$I,5)</f>
        <v>29.426388888888891</v>
      </c>
      <c r="F9" s="6">
        <f>SUMIFS('Banco de Dados'!$E:$E,'Banco de Dados'!$B:$B,$A9,'Banco de Dados'!$G:$G,IF($B$1="","&gt;0",$B$1),'Banco de Dados'!$H:$H,IF($D$1="","&gt;0",$D$1),'Banco de Dados'!$F:$F,IF($F$1="","&gt;0",$F$1),'Banco de Dados'!$I:$I,6)</f>
        <v>31.98555555555556</v>
      </c>
      <c r="G9" s="6">
        <f>SUMIFS('Banco de Dados'!$E:$E,'Banco de Dados'!$B:$B,$A9,'Banco de Dados'!$G:$G,IF($B$1="","&gt;0",$B$1),'Banco de Dados'!$H:$H,IF($D$1="","&gt;0",$D$1),'Banco de Dados'!$F:$F,IF($F$1="","&gt;0",$F$1),'Banco de Dados'!$I:$I,7)</f>
        <v>8.6858333333333313</v>
      </c>
      <c r="H9" s="6">
        <f>SUMIFS('Banco de Dados'!$E:$E,'Banco de Dados'!$B:$B,$A9,'Banco de Dados'!$G:$G,IF($B$1="","&gt;0",$B$1),'Banco de Dados'!$H:$H,IF($D$1="","&gt;0",$D$1),'Banco de Dados'!$F:$F,IF($F$1="","&gt;0",$F$1),'Banco de Dados'!$I:$I,1)</f>
        <v>0</v>
      </c>
      <c r="I9" s="7">
        <f>SUMIFS('Banco de Dados'!$E:$E,'Banco de Dados'!$B:$B,$A9,'Banco de Dados'!$G:$G,IF($B$1="","&gt;0",$B$1),'Banco de Dados'!$H:$H,IF($D$1="","&gt;0",$D$1),'Banco de Dados'!$F:$F,IF($F$1="","&gt;0",$F$1))</f>
        <v>184.22055555555556</v>
      </c>
      <c r="J9" s="6">
        <f>SUMIF('Banco de Dados'!$B$2:$B$4989, $A9, 'Banco de Dados'!$E$2:$E$4989)</f>
        <v>184.22055555555556</v>
      </c>
      <c r="K9" s="5">
        <f>COUNTIF('Banco de Dados'!$B$2:$B$4989, $A9)</f>
        <v>37</v>
      </c>
    </row>
    <row r="10" spans="1:11">
      <c r="A10" s="8" t="s">
        <v>6</v>
      </c>
      <c r="B10" s="6">
        <f>SUMIFS('Banco de Dados'!$E:$E,'Banco de Dados'!$B:$B,$A10,'Banco de Dados'!$G:$G,IF($B$1="","&gt;0",$B$1),'Banco de Dados'!$H:$H,IF($D$1="","&gt;0",$D$1),'Banco de Dados'!$F:$F,IF($F$1="","&gt;0",$F$1),'Banco de Dados'!$I:$I,2)</f>
        <v>38.431666666666665</v>
      </c>
      <c r="C10" s="6">
        <f>SUMIFS('Banco de Dados'!$E:$E,'Banco de Dados'!$B:$B,$A10,'Banco de Dados'!$G:$G,IF($B$1="","&gt;0",$B$1),'Banco de Dados'!$H:$H,IF($D$1="","&gt;0",$D$1),'Banco de Dados'!$F:$F,IF($F$1="","&gt;0",$F$1),'Banco de Dados'!$I:$I,3)</f>
        <v>37.668611111111112</v>
      </c>
      <c r="D10" s="6">
        <f>SUMIFS('Banco de Dados'!$E:$E,'Banco de Dados'!$B:$B,$A10,'Banco de Dados'!$G:$G,IF($B$1="","&gt;0",$B$1),'Banco de Dados'!$H:$H,IF($D$1="","&gt;0",$D$1),'Banco de Dados'!$F:$F,IF($F$1="","&gt;0",$F$1),'Banco de Dados'!$I:$I,4)</f>
        <v>51.708055555555546</v>
      </c>
      <c r="E10" s="6">
        <f>SUMIFS('Banco de Dados'!$E:$E,'Banco de Dados'!$B:$B,$A10,'Banco de Dados'!$G:$G,IF($B$1="","&gt;0",$B$1),'Banco de Dados'!$H:$H,IF($D$1="","&gt;0",$D$1),'Banco de Dados'!$F:$F,IF($F$1="","&gt;0",$F$1),'Banco de Dados'!$I:$I,5)</f>
        <v>54.155833333333334</v>
      </c>
      <c r="F10" s="6">
        <f>SUMIFS('Banco de Dados'!$E:$E,'Banco de Dados'!$B:$B,$A10,'Banco de Dados'!$G:$G,IF($B$1="","&gt;0",$B$1),'Banco de Dados'!$H:$H,IF($D$1="","&gt;0",$D$1),'Banco de Dados'!$F:$F,IF($F$1="","&gt;0",$F$1),'Banco de Dados'!$I:$I,6)</f>
        <v>46.06944444444445</v>
      </c>
      <c r="G10" s="6">
        <f>SUMIFS('Banco de Dados'!$E:$E,'Banco de Dados'!$B:$B,$A10,'Banco de Dados'!$G:$G,IF($B$1="","&gt;0",$B$1),'Banco de Dados'!$H:$H,IF($D$1="","&gt;0",$D$1),'Banco de Dados'!$F:$F,IF($F$1="","&gt;0",$F$1),'Banco de Dados'!$I:$I,7)</f>
        <v>26.78</v>
      </c>
      <c r="H10" s="6">
        <f>SUMIFS('Banco de Dados'!$E:$E,'Banco de Dados'!$B:$B,$A10,'Banco de Dados'!$G:$G,IF($B$1="","&gt;0",$B$1),'Banco de Dados'!$H:$H,IF($D$1="","&gt;0",$D$1),'Banco de Dados'!$F:$F,IF($F$1="","&gt;0",$F$1),'Banco de Dados'!$I:$I,1)</f>
        <v>0</v>
      </c>
      <c r="I10" s="7">
        <f>SUMIFS('Banco de Dados'!$E:$E,'Banco de Dados'!$B:$B,$A10,'Banco de Dados'!$G:$G,IF($B$1="","&gt;0",$B$1),'Banco de Dados'!$H:$H,IF($D$1="","&gt;0",$D$1),'Banco de Dados'!$F:$F,IF($F$1="","&gt;0",$F$1))</f>
        <v>254.81361111111113</v>
      </c>
      <c r="J10" s="6">
        <f>SUMIF('Banco de Dados'!$B$2:$B$4989, $A10, 'Banco de Dados'!$E$2:$E$4989)</f>
        <v>254.81361111111113</v>
      </c>
      <c r="K10" s="5">
        <f>COUNTIF('Banco de Dados'!$B$2:$B$4989, $A10)</f>
        <v>37</v>
      </c>
    </row>
    <row r="11" spans="1:11">
      <c r="A11" s="8" t="s">
        <v>11</v>
      </c>
      <c r="B11" s="6">
        <f>SUMIFS('Banco de Dados'!$E:$E,'Banco de Dados'!$B:$B,$A11,'Banco de Dados'!$G:$G,IF($B$1="","&gt;0",$B$1),'Banco de Dados'!$H:$H,IF($D$1="","&gt;0",$D$1),'Banco de Dados'!$F:$F,IF($F$1="","&gt;0",$F$1),'Banco de Dados'!$I:$I,2)</f>
        <v>35.87777777777778</v>
      </c>
      <c r="C11" s="6">
        <f>SUMIFS('Banco de Dados'!$E:$E,'Banco de Dados'!$B:$B,$A11,'Banco de Dados'!$G:$G,IF($B$1="","&gt;0",$B$1),'Banco de Dados'!$H:$H,IF($D$1="","&gt;0",$D$1),'Banco de Dados'!$F:$F,IF($F$1="","&gt;0",$F$1),'Banco de Dados'!$I:$I,3)</f>
        <v>42.036111111111104</v>
      </c>
      <c r="D11" s="6">
        <f>SUMIFS('Banco de Dados'!$E:$E,'Banco de Dados'!$B:$B,$A11,'Banco de Dados'!$G:$G,IF($B$1="","&gt;0",$B$1),'Banco de Dados'!$H:$H,IF($D$1="","&gt;0",$D$1),'Banco de Dados'!$F:$F,IF($F$1="","&gt;0",$F$1),'Banco de Dados'!$I:$I,4)</f>
        <v>45.021666666666661</v>
      </c>
      <c r="E11" s="6">
        <f>SUMIFS('Banco de Dados'!$E:$E,'Banco de Dados'!$B:$B,$A11,'Banco de Dados'!$G:$G,IF($B$1="","&gt;0",$B$1),'Banco de Dados'!$H:$H,IF($D$1="","&gt;0",$D$1),'Banco de Dados'!$F:$F,IF($F$1="","&gt;0",$F$1),'Banco de Dados'!$I:$I,5)</f>
        <v>42.961388888888891</v>
      </c>
      <c r="F11" s="6">
        <f>SUMIFS('Banco de Dados'!$E:$E,'Banco de Dados'!$B:$B,$A11,'Banco de Dados'!$G:$G,IF($B$1="","&gt;0",$B$1),'Banco de Dados'!$H:$H,IF($D$1="","&gt;0",$D$1),'Banco de Dados'!$F:$F,IF($F$1="","&gt;0",$F$1),'Banco de Dados'!$I:$I,6)</f>
        <v>31.00611111111111</v>
      </c>
      <c r="G11" s="6">
        <f>SUMIFS('Banco de Dados'!$E:$E,'Banco de Dados'!$B:$B,$A11,'Banco de Dados'!$G:$G,IF($B$1="","&gt;0",$B$1),'Banco de Dados'!$H:$H,IF($D$1="","&gt;0",$D$1),'Banco de Dados'!$F:$F,IF($F$1="","&gt;0",$F$1),'Banco de Dados'!$I:$I,7)</f>
        <v>36.32</v>
      </c>
      <c r="H11" s="6">
        <f>SUMIFS('Banco de Dados'!$E:$E,'Banco de Dados'!$B:$B,$A11,'Banco de Dados'!$G:$G,IF($B$1="","&gt;0",$B$1),'Banco de Dados'!$H:$H,IF($D$1="","&gt;0",$D$1),'Banco de Dados'!$F:$F,IF($F$1="","&gt;0",$F$1),'Banco de Dados'!$I:$I,1)</f>
        <v>0</v>
      </c>
      <c r="I11" s="7">
        <f>SUMIFS('Banco de Dados'!$E:$E,'Banco de Dados'!$B:$B,$A11,'Banco de Dados'!$G:$G,IF($B$1="","&gt;0",$B$1),'Banco de Dados'!$H:$H,IF($D$1="","&gt;0",$D$1),'Banco de Dados'!$F:$F,IF($F$1="","&gt;0",$F$1))</f>
        <v>233.22305555555559</v>
      </c>
      <c r="J11" s="6">
        <f>SUMIF('Banco de Dados'!$B$2:$B$4989, $A11, 'Banco de Dados'!$E$2:$E$4989)</f>
        <v>233.22305555555559</v>
      </c>
      <c r="K11" s="5">
        <f>COUNTIF('Banco de Dados'!$B$2:$B$4989, $A11)</f>
        <v>36</v>
      </c>
    </row>
    <row r="12" spans="1:11">
      <c r="A12" s="8" t="s">
        <v>8</v>
      </c>
      <c r="B12" s="6">
        <f>SUMIFS('Banco de Dados'!$E:$E,'Banco de Dados'!$B:$B,$A12,'Banco de Dados'!$G:$G,IF($B$1="","&gt;0",$B$1),'Banco de Dados'!$H:$H,IF($D$1="","&gt;0",$D$1),'Banco de Dados'!$F:$F,IF($F$1="","&gt;0",$F$1),'Banco de Dados'!$I:$I,2)</f>
        <v>41.423611111111107</v>
      </c>
      <c r="C12" s="6">
        <f>SUMIFS('Banco de Dados'!$E:$E,'Banco de Dados'!$B:$B,$A12,'Banco de Dados'!$G:$G,IF($B$1="","&gt;0",$B$1),'Banco de Dados'!$H:$H,IF($D$1="","&gt;0",$D$1),'Banco de Dados'!$F:$F,IF($F$1="","&gt;0",$F$1),'Banco de Dados'!$I:$I,3)</f>
        <v>41.363611111111119</v>
      </c>
      <c r="D12" s="6">
        <f>SUMIFS('Banco de Dados'!$E:$E,'Banco de Dados'!$B:$B,$A12,'Banco de Dados'!$G:$G,IF($B$1="","&gt;0",$B$1),'Banco de Dados'!$H:$H,IF($D$1="","&gt;0",$D$1),'Banco de Dados'!$F:$F,IF($F$1="","&gt;0",$F$1),'Banco de Dados'!$I:$I,4)</f>
        <v>45.988611111111112</v>
      </c>
      <c r="E12" s="6">
        <f>SUMIFS('Banco de Dados'!$E:$E,'Banco de Dados'!$B:$B,$A12,'Banco de Dados'!$G:$G,IF($B$1="","&gt;0",$B$1),'Banco de Dados'!$H:$H,IF($D$1="","&gt;0",$D$1),'Banco de Dados'!$F:$F,IF($F$1="","&gt;0",$F$1),'Banco de Dados'!$I:$I,5)</f>
        <v>51.200277777777778</v>
      </c>
      <c r="F12" s="6">
        <f>SUMIFS('Banco de Dados'!$E:$E,'Banco de Dados'!$B:$B,$A12,'Banco de Dados'!$G:$G,IF($B$1="","&gt;0",$B$1),'Banco de Dados'!$H:$H,IF($D$1="","&gt;0",$D$1),'Banco de Dados'!$F:$F,IF($F$1="","&gt;0",$F$1),'Banco de Dados'!$I:$I,6)</f>
        <v>40.632777777777775</v>
      </c>
      <c r="G12" s="6">
        <f>SUMIFS('Banco de Dados'!$E:$E,'Banco de Dados'!$B:$B,$A12,'Banco de Dados'!$G:$G,IF($B$1="","&gt;0",$B$1),'Banco de Dados'!$H:$H,IF($D$1="","&gt;0",$D$1),'Banco de Dados'!$F:$F,IF($F$1="","&gt;0",$F$1),'Banco de Dados'!$I:$I,7)</f>
        <v>24.441111111111113</v>
      </c>
      <c r="H12" s="6">
        <f>SUMIFS('Banco de Dados'!$E:$E,'Banco de Dados'!$B:$B,$A12,'Banco de Dados'!$G:$G,IF($B$1="","&gt;0",$B$1),'Banco de Dados'!$H:$H,IF($D$1="","&gt;0",$D$1),'Banco de Dados'!$F:$F,IF($F$1="","&gt;0",$F$1),'Banco de Dados'!$I:$I,1)</f>
        <v>0</v>
      </c>
      <c r="I12" s="7">
        <f>SUMIFS('Banco de Dados'!$E:$E,'Banco de Dados'!$B:$B,$A12,'Banco de Dados'!$G:$G,IF($B$1="","&gt;0",$B$1),'Banco de Dados'!$H:$H,IF($D$1="","&gt;0",$D$1),'Banco de Dados'!$F:$F,IF($F$1="","&gt;0",$F$1))</f>
        <v>245.05</v>
      </c>
      <c r="J12" s="6">
        <f>SUMIF('Banco de Dados'!$B$2:$B$4989, $A12, 'Banco de Dados'!$E$2:$E$4989)</f>
        <v>245.05</v>
      </c>
      <c r="K12" s="5">
        <f>COUNTIF('Banco de Dados'!$B$2:$B$4989, $A12)</f>
        <v>38</v>
      </c>
    </row>
    <row r="13" spans="1:11">
      <c r="A13" s="8" t="s">
        <v>10</v>
      </c>
      <c r="B13" s="6">
        <f>SUMIFS('Banco de Dados'!$E:$E,'Banco de Dados'!$B:$B,$A13,'Banco de Dados'!$G:$G,IF($B$1="","&gt;0",$B$1),'Banco de Dados'!$H:$H,IF($D$1="","&gt;0",$D$1),'Banco de Dados'!$F:$F,IF($F$1="","&gt;0",$F$1),'Banco de Dados'!$I:$I,2)</f>
        <v>25.104444444444443</v>
      </c>
      <c r="C13" s="6">
        <f>SUMIFS('Banco de Dados'!$E:$E,'Banco de Dados'!$B:$B,$A13,'Banco de Dados'!$G:$G,IF($B$1="","&gt;0",$B$1),'Banco de Dados'!$H:$H,IF($D$1="","&gt;0",$D$1),'Banco de Dados'!$F:$F,IF($F$1="","&gt;0",$F$1),'Banco de Dados'!$I:$I,3)</f>
        <v>37.879166666666663</v>
      </c>
      <c r="D13" s="6">
        <f>SUMIFS('Banco de Dados'!$E:$E,'Banco de Dados'!$B:$B,$A13,'Banco de Dados'!$G:$G,IF($B$1="","&gt;0",$B$1),'Banco de Dados'!$H:$H,IF($D$1="","&gt;0",$D$1),'Banco de Dados'!$F:$F,IF($F$1="","&gt;0",$F$1),'Banco de Dados'!$I:$I,4)</f>
        <v>34.981111111111112</v>
      </c>
      <c r="E13" s="6">
        <f>SUMIFS('Banco de Dados'!$E:$E,'Banco de Dados'!$B:$B,$A13,'Banco de Dados'!$G:$G,IF($B$1="","&gt;0",$B$1),'Banco de Dados'!$H:$H,IF($D$1="","&gt;0",$D$1),'Banco de Dados'!$F:$F,IF($F$1="","&gt;0",$F$1),'Banco de Dados'!$I:$I,5)</f>
        <v>29.728888888888889</v>
      </c>
      <c r="F13" s="6">
        <f>SUMIFS('Banco de Dados'!$E:$E,'Banco de Dados'!$B:$B,$A13,'Banco de Dados'!$G:$G,IF($B$1="","&gt;0",$B$1),'Banco de Dados'!$H:$H,IF($D$1="","&gt;0",$D$1),'Banco de Dados'!$F:$F,IF($F$1="","&gt;0",$F$1),'Banco de Dados'!$I:$I,6)</f>
        <v>33.263611111111118</v>
      </c>
      <c r="G13" s="6">
        <f>SUMIFS('Banco de Dados'!$E:$E,'Banco de Dados'!$B:$B,$A13,'Banco de Dados'!$G:$G,IF($B$1="","&gt;0",$B$1),'Banco de Dados'!$H:$H,IF($D$1="","&gt;0",$D$1),'Banco de Dados'!$F:$F,IF($F$1="","&gt;0",$F$1),'Banco de Dados'!$I:$I,7)</f>
        <v>24.255555555555553</v>
      </c>
      <c r="H13" s="6">
        <f>SUMIFS('Banco de Dados'!$E:$E,'Banco de Dados'!$B:$B,$A13,'Banco de Dados'!$G:$G,IF($B$1="","&gt;0",$B$1),'Banco de Dados'!$H:$H,IF($D$1="","&gt;0",$D$1),'Banco de Dados'!$F:$F,IF($F$1="","&gt;0",$F$1),'Banco de Dados'!$I:$I,1)</f>
        <v>0</v>
      </c>
      <c r="I13" s="7">
        <f>SUMIFS('Banco de Dados'!$E:$E,'Banco de Dados'!$B:$B,$A13,'Banco de Dados'!$G:$G,IF($B$1="","&gt;0",$B$1),'Banco de Dados'!$H:$H,IF($D$1="","&gt;0",$D$1),'Banco de Dados'!$F:$F,IF($F$1="","&gt;0",$F$1))</f>
        <v>185.2127777777778</v>
      </c>
      <c r="J13" s="6">
        <f>SUMIF('Banco de Dados'!$B$2:$B$4989, $A13, 'Banco de Dados'!$E$2:$E$4989)</f>
        <v>185.2127777777778</v>
      </c>
      <c r="K13" s="5">
        <f>COUNTIF('Banco de Dados'!$B$2:$B$4989, $A13)</f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 de 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Marcelo</cp:lastModifiedBy>
  <dcterms:created xsi:type="dcterms:W3CDTF">2026-04-23T22:11:59Z</dcterms:created>
  <dcterms:modified xsi:type="dcterms:W3CDTF">2026-05-19T21:05:56Z</dcterms:modified>
</cp:coreProperties>
</file>